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annie\Documents\mvpstudio\"/>
    </mc:Choice>
  </mc:AlternateContent>
  <xr:revisionPtr revIDLastSave="0" documentId="13_ncr:1_{2C928B08-EB52-450E-BF1F-0A4DD7E9AD2C}" xr6:coauthVersionLast="47" xr6:coauthVersionMax="47" xr10:uidLastSave="{00000000-0000-0000-0000-000000000000}"/>
  <bookViews>
    <workbookView xWindow="22932" yWindow="-108" windowWidth="23256" windowHeight="12456" xr2:uid="{00000000-000D-0000-FFFF-FFFF00000000}"/>
  </bookViews>
  <sheets>
    <sheet name="Heatmap" sheetId="6" r:id="rId1"/>
    <sheet name="Education" sheetId="1" r:id="rId2"/>
    <sheet name="Certification" sheetId="3" r:id="rId3"/>
    <sheet name="Bugs" sheetId="5" r:id="rId4"/>
    <sheet name="Legend" sheetId="2" r:id="rId5"/>
  </sheets>
  <definedNames>
    <definedName name="_xlnm._FilterDatabase" localSheetId="1" hidden="1">Education!$A$1:$U$43</definedName>
    <definedName name="_xlchart.v1.0" hidden="1">Heatmap!$H$4:$H$6</definedName>
    <definedName name="_xlchart.v1.1" hidden="1">Heatmap!$I$4:$I$6</definedName>
    <definedName name="_xlchart.v1.10" hidden="1">Heatmap!$I$4:$I$6</definedName>
    <definedName name="_xlchart.v1.11" hidden="1">Heatmap!$J$4:$J$6</definedName>
    <definedName name="_xlchart.v1.12" hidden="1">Heatmap!$H$4:$H$6</definedName>
    <definedName name="_xlchart.v1.13" hidden="1">Heatmap!$I$4:$I$6</definedName>
    <definedName name="_xlchart.v1.14" hidden="1">Heatmap!$J$4:$J$6</definedName>
    <definedName name="_xlchart.v1.2" hidden="1">Heatmap!$J$4:$J$6</definedName>
    <definedName name="_xlchart.v1.3" hidden="1">Heatmap!$H$4:$H$6</definedName>
    <definedName name="_xlchart.v1.4" hidden="1">Heatmap!$I$4:$I$6</definedName>
    <definedName name="_xlchart.v1.5" hidden="1">Heatmap!$J$4:$J$6</definedName>
    <definedName name="_xlchart.v1.6" hidden="1">Heatmap!$H$4:$H$6</definedName>
    <definedName name="_xlchart.v1.7" hidden="1">Heatmap!$I$4:$I$6</definedName>
    <definedName name="_xlchart.v1.8" hidden="1">Heatmap!$J$4:$J$6</definedName>
    <definedName name="_xlchart.v1.9" hidden="1">Heatmap!$H$4:$H$6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6" l="1"/>
  <c r="I6" i="6"/>
  <c r="I5" i="6"/>
  <c r="I4" i="6"/>
  <c r="B11" i="6"/>
  <c r="B4" i="6"/>
  <c r="B7" i="6"/>
  <c r="B9" i="6"/>
  <c r="J6" i="6" l="1"/>
  <c r="J5" i="6"/>
  <c r="J4" i="6"/>
  <c r="O9" i="6" s="1"/>
  <c r="B5" i="6"/>
  <c r="B6" i="6" s="1"/>
  <c r="O3" i="6" s="1"/>
  <c r="B10" i="6" l="1"/>
  <c r="B12" i="6"/>
  <c r="O7" i="6" s="1"/>
  <c r="O5" i="6" l="1"/>
</calcChain>
</file>

<file path=xl/sharedStrings.xml><?xml version="1.0" encoding="utf-8"?>
<sst xmlns="http://schemas.openxmlformats.org/spreadsheetml/2006/main" count="1720" uniqueCount="928">
  <si>
    <t>TC ID</t>
  </si>
  <si>
    <t>Feature</t>
  </si>
  <si>
    <t>Title</t>
  </si>
  <si>
    <t>Description</t>
  </si>
  <si>
    <t>Pre-Conditions</t>
  </si>
  <si>
    <t>Test Steps</t>
  </si>
  <si>
    <t>Test Data</t>
  </si>
  <si>
    <t>Expected Result</t>
  </si>
  <si>
    <t>UI Toast Expected</t>
  </si>
  <si>
    <t>Actual Result</t>
  </si>
  <si>
    <t>Post Conditions</t>
  </si>
  <si>
    <t>Status</t>
  </si>
  <si>
    <t>Priority</t>
  </si>
  <si>
    <t>Test Type</t>
  </si>
  <si>
    <t>Tags</t>
  </si>
  <si>
    <t>Notes</t>
  </si>
  <si>
    <t>Phase</t>
  </si>
  <si>
    <t>Owner</t>
  </si>
  <si>
    <t>Tester Name</t>
  </si>
  <si>
    <t>Execution Date</t>
  </si>
  <si>
    <t>EDU-01</t>
  </si>
  <si>
    <t>EDU-02</t>
  </si>
  <si>
    <t>EDU-03</t>
  </si>
  <si>
    <t>EDU-04</t>
  </si>
  <si>
    <t>EDU-05</t>
  </si>
  <si>
    <t>EDU-06</t>
  </si>
  <si>
    <t>EDU-07</t>
  </si>
  <si>
    <t>EDU-08</t>
  </si>
  <si>
    <t>EDU-10</t>
  </si>
  <si>
    <t>EDU-12</t>
  </si>
  <si>
    <t>EDU-13</t>
  </si>
  <si>
    <t>EDU-16</t>
  </si>
  <si>
    <t>EDU-17</t>
  </si>
  <si>
    <t>EDU-18</t>
  </si>
  <si>
    <t>EDU-19</t>
  </si>
  <si>
    <t>EDU-09</t>
  </si>
  <si>
    <t>EDU-11</t>
  </si>
  <si>
    <t>EDU-14</t>
  </si>
  <si>
    <t>EDU-15</t>
  </si>
  <si>
    <t>Year</t>
  </si>
  <si>
    <t>API</t>
  </si>
  <si>
    <t>Accessibility</t>
  </si>
  <si>
    <t>Education tab loads (empty grid)</t>
  </si>
  <si>
    <t>Add education with all fields</t>
  </si>
  <si>
    <t>Prevent duplicate education</t>
  </si>
  <si>
    <t>Edit education updates value</t>
  </si>
  <si>
    <t>Delete education removes row</t>
  </si>
  <si>
    <t>Cancel aborts Add row</t>
  </si>
  <si>
    <t>Mandatory field validation</t>
  </si>
  <si>
    <t>Reject XSS payload in University</t>
  </si>
  <si>
    <t>Country dropdown: full list and alphabetical</t>
  </si>
  <si>
    <t>Country dropdown: required field validation</t>
  </si>
  <si>
    <t>Title dropdown: placeholder not accepted</t>
  </si>
  <si>
    <t>Year out-of-range blocked server-side</t>
  </si>
  <si>
    <t>Unauthorized blocked</t>
  </si>
  <si>
    <t>Max length boundary accepted</t>
  </si>
  <si>
    <t>Over-max rejected</t>
  </si>
  <si>
    <t>Whitespace-only rejected</t>
  </si>
  <si>
    <t>Handle SQL-like text safely</t>
  </si>
  <si>
    <t>Title dropdown: type-ahead binding</t>
  </si>
  <si>
    <t>Dropdown: ESC closes without selection</t>
  </si>
  <si>
    <t>Pagination boundaries</t>
  </si>
  <si>
    <t>Non-Latin university names persist</t>
  </si>
  <si>
    <t>Emoji/control characters rejected</t>
  </si>
  <si>
    <t>Numbers-only rejected for University</t>
  </si>
  <si>
    <t>Verify Education tab loads and displays empty state.</t>
  </si>
  <si>
    <t>Create a single entry using visible fields only.</t>
  </si>
  <si>
    <t>Attempt to add a duplicate identical to an existing record.</t>
  </si>
  <si>
    <t>Edit an existing entry and verify update.</t>
  </si>
  <si>
    <t>Delete an existing entry.</t>
  </si>
  <si>
    <t>After clicking Cancel, no new row is created and no existing row is modified.</t>
  </si>
  <si>
    <t>Each field is required; save blocked when any is empty.</t>
  </si>
  <si>
    <t>No script executes; unsafe text not persisted.</t>
  </si>
  <si>
    <t>Verify Country dropdown content, ordering, and placeholder behavior.</t>
  </si>
  <si>
    <t>Leaving Country unselected triggers validation.</t>
  </si>
  <si>
    <t>Default placeholder in Title not accepted.</t>
  </si>
  <si>
    <t>No future years listed.</t>
  </si>
  <si>
    <t>Server rejects tampered future year.</t>
  </si>
  <si>
    <t>SQL-like strings treated as plain text; backend stable.</t>
  </si>
  <si>
    <t>Dropdown supports search and binds correct value.</t>
  </si>
  <si>
    <t>ESC closes dropdown without changing value.</t>
  </si>
  <si>
    <t>Logged in; Profile page open.</t>
  </si>
  <si>
    <t>Education tab open.</t>
  </si>
  <si>
    <t>At least one education exists.</t>
  </si>
  <si>
    <t>Add dialog visible.</t>
  </si>
  <si>
    <t>Education form open.</t>
  </si>
  <si>
    <t>Dropdown open.</t>
  </si>
  <si>
    <t>1) Navigate to Profile page
2) Click the Education tab
3) Wait for grid to render</t>
  </si>
  <si>
    <t>1) 1) Click Add New
2) 2) Enter Country, University, Title, Degree, Graduation Year
3) 3) Click Add button</t>
  </si>
  <si>
    <t>1) Locate target row in grid
2) Click Delete icon
3) Confirm delete if prompted
4) Verify row count decremented and toast</t>
  </si>
  <si>
    <t>1) 1) Click Add New
2) 2) Enter fields
3) 3) Click Cancel</t>
  </si>
  <si>
    <t>1) 1) Click Add New
2) 2) Leave University empty
3) 3) Click Add</t>
  </si>
  <si>
    <t>1) Click Add New
2) Enter University as '&lt;script&gt;alert(1)&lt;/script&gt;'
3) Click Add
4) Verify no alert and no raw script stored</t>
  </si>
  <si>
    <t>1) Open Add New form
2) Fill all fields except Country
3) Click Add
4) Verify validation message and no new grid row</t>
  </si>
  <si>
    <t>1) Open Add New form
2) Leave Title as placeholder
3) Fill other fields
4) Click Add
5) Verify validation message and no new row</t>
  </si>
  <si>
    <t>1) Submit valid create request from UI
2) Capture request and modify year to future
3) Resend tampered request
4) Refresh grid and verify no insertion</t>
  </si>
  <si>
    <t>1) Send POST without Authorization header
2) Verify 401/403 and no grid row</t>
  </si>
  <si>
    <t>1) Open Add New form
2) Paste 255 chars into University
3) Save and verify behavior matches spec</t>
  </si>
  <si>
    <t>1) Open Add New form
2) Paste 256+ chars into University
3) Click Add and verify validation error</t>
  </si>
  <si>
    <t>1) Open Add New form
2) Enter only whitespace in University
3) Click Add and verify validation error</t>
  </si>
  <si>
    <t>1) Open Title dropdown
2) Type 'PH' to filter
3) Press Enter on 'PHD'
4) Verify bound value equals 'PHD'</t>
  </si>
  <si>
    <t>1) Open dropdown
2) Press ESC
3) Verify dropdown closes and value unchanged</t>
  </si>
  <si>
    <t>1) Seed dataset to exceed one page
2) Navigate pagination controls
3) Verify counts and absence of duplicates/gaps</t>
  </si>
  <si>
    <t>1) Open Add New form
2) Enter 'MIT 👍 \x07' in University
3) Click Add and verify validation error</t>
  </si>
  <si>
    <t>1) Open Add New form
2) Enter '123456' for University
3) Click Add and verify validation error</t>
  </si>
  <si>
    <t>Grid renders with columns: Country, University, Title, Degree, Graduation Year. Add New visible.</t>
  </si>
  <si>
    <t>Row added and values visible in grid.</t>
  </si>
  <si>
    <t>No new row created; grid count unchanged.</t>
  </si>
  <si>
    <t>Row removed; grid count decremented by 1.</t>
  </si>
  <si>
    <t>Validation error; no row created.</t>
  </si>
  <si>
    <t>All countries present, no duplicates, alphabetical, placeholder not selectable.</t>
  </si>
  <si>
    <t>No record created. Error shown.</t>
  </si>
  <si>
    <t>Submission fails; no entry created.</t>
  </si>
  <si>
    <t>Validation error; no row</t>
  </si>
  <si>
    <t>PHD selected and stored. No free text allowed.</t>
  </si>
  <si>
    <t>Dropdown closes. Prior value retained.</t>
  </si>
  <si>
    <t>Stored and rendered correctly</t>
  </si>
  <si>
    <t>Record created.</t>
  </si>
  <si>
    <t>No change.</t>
  </si>
  <si>
    <t>Row updated.</t>
  </si>
  <si>
    <t>Row deleted.</t>
  </si>
  <si>
    <t>Pass</t>
  </si>
  <si>
    <t>Not Run</t>
  </si>
  <si>
    <t>High</t>
  </si>
  <si>
    <t>Medium</t>
  </si>
  <si>
    <t>Low</t>
  </si>
  <si>
    <t>Positive</t>
  </si>
  <si>
    <t>Negative</t>
  </si>
  <si>
    <t>Usability</t>
  </si>
  <si>
    <t>Destructive</t>
  </si>
  <si>
    <t>Functional</t>
  </si>
  <si>
    <t>Phase 1</t>
  </si>
  <si>
    <t>Phase 2</t>
  </si>
  <si>
    <t>QA</t>
  </si>
  <si>
    <t>Field</t>
  </si>
  <si>
    <t>Mapping</t>
  </si>
  <si>
    <t>Priority Colors</t>
  </si>
  <si>
    <t>Status Colors</t>
  </si>
  <si>
    <t>Test Type Colors</t>
  </si>
  <si>
    <t>Phases</t>
  </si>
  <si>
    <t>High=Red, Medium=Yellow, Low=Green</t>
  </si>
  <si>
    <t>Pass=Green, Fail=Red, Not Run=Gray, Blocked=Orange, In Progress=Blue</t>
  </si>
  <si>
    <t>Positive=Light Blue, Negative=Orange, Destructive=Purple, Accessibility=Teal, API=Pink, Usability=Gold, Functional=Light Gray</t>
  </si>
  <si>
    <t>1) Click Edit icon
 2) Change Degree
 3) Click Update</t>
  </si>
  <si>
    <t>1) 1) Click Add New
) 2) Re-enter the exact same values as existing row
3) 3) Click Add button</t>
  </si>
  <si>
    <t>Pure UI (✅ Selenium + NUnit + Reqnroll)</t>
  </si>
  <si>
    <t>UI + JS helpers (✅ small glue via ExecuteScript + Reqnroll)</t>
  </si>
  <si>
    <t>Automation Feasibility</t>
  </si>
  <si>
    <t>CERT-01</t>
  </si>
  <si>
    <t>Certifications tab loads (empty grid)</t>
  </si>
  <si>
    <t>Verify tab renders and empty state handled.</t>
  </si>
  <si>
    <t>Click Certifications tab</t>
  </si>
  <si>
    <t>Grid renders columns: Certificate, From, Year. Add New visible.</t>
  </si>
  <si>
    <t>Leave as-is.</t>
  </si>
  <si>
    <t>CERT-02</t>
  </si>
  <si>
    <t>Add certificate with fields</t>
  </si>
  <si>
    <t>Create a certificate entry using visible fields only.</t>
  </si>
  <si>
    <t>Certifications tab open.</t>
  </si>
  <si>
    <t>1) Click Add New
2) Enter Certificate, From, Year
3) Click Add button</t>
  </si>
  <si>
    <t>Row added with correct values.</t>
  </si>
  <si>
    <t>Row added with correct values.
Blue success toast : "ISTQB has been added to your certification"</t>
  </si>
  <si>
    <t>CERT-03</t>
  </si>
  <si>
    <t>Prevent duplicate certificate</t>
  </si>
  <si>
    <t>Attempt to add duplicate identical to an existing record.</t>
  </si>
  <si>
    <t>At least one certificate exists with
Certificate=ISTQB CTFL
From=ISTQB
Year=2020</t>
  </si>
  <si>
    <t>1) Add New
2) Re-enter same values
3)Click Add button</t>
  </si>
  <si>
    <t xml:space="preserve">No new row created; grid count unchanged
Red error toast: "This information is already exist."
</t>
  </si>
  <si>
    <t>CERT-04</t>
  </si>
  <si>
    <t>Edit certificate updates value</t>
  </si>
  <si>
    <t>Edit an existing certificate name.</t>
  </si>
  <si>
    <t>At least one certificate exists.</t>
  </si>
  <si>
    <t>1) Click Edit on target row
2) Change Certificate
3) Click Update button</t>
  </si>
  <si>
    <t>Row shows updated certificate text.</t>
  </si>
  <si>
    <t>CERT-05</t>
  </si>
  <si>
    <t>Delete certificate removes row</t>
  </si>
  <si>
    <t>Delete an existing certificate.</t>
  </si>
  <si>
    <t>1) Click Delete on target row
2) Confirm if prompted</t>
  </si>
  <si>
    <t>Row removed; count decremented.</t>
  </si>
  <si>
    <t>Row removed; count decremented.
Blue success toast: ISTQB has been deleted from your certification</t>
  </si>
  <si>
    <t>CERT-07</t>
  </si>
  <si>
    <t>Reject XSS payload in Certificate</t>
  </si>
  <si>
    <t>No alert; value rejected or encoded safely; grid does not display raw tags.</t>
  </si>
  <si>
    <t>Value accepted and row displayed
Blue success toast : "&lt;script&gt;alert(1)&lt;/script&gt; has been added to your certification"</t>
  </si>
  <si>
    <t>Fail</t>
  </si>
  <si>
    <t>Year range bounded to current year</t>
  </si>
  <si>
    <t>Open Year dropdown and verify no future year exists.</t>
  </si>
  <si>
    <t>--</t>
  </si>
  <si>
    <t>Open Year dropdown. Inspect last option.</t>
  </si>
  <si>
    <t>No future year shown.</t>
  </si>
  <si>
    <t>No data persisted.</t>
  </si>
  <si>
    <t>✅ Pure UI (Selenium + NUnit + Reqnroll)</t>
  </si>
  <si>
    <t>Out-of-range year blocked server-side</t>
  </si>
  <si>
    <t>Tamper request payload to set year=2050 and submit.</t>
  </si>
  <si>
    <t>DevTools/Proxy available.</t>
  </si>
  <si>
    <t>No persistence.</t>
  </si>
  <si>
    <t>Negative, API</t>
  </si>
  <si>
    <t>Save spam prevention</t>
  </si>
  <si>
    <t>Valid fields.</t>
  </si>
  <si>
    <t>Click Update five times quickly.</t>
  </si>
  <si>
    <t>One row only. No duplicate toasts or rows.</t>
  </si>
  <si>
    <t>Exactly one row exists.</t>
  </si>
  <si>
    <t>Blank Year blocked</t>
  </si>
  <si>
    <t>Attempt save without choosing Year.</t>
  </si>
  <si>
    <t>Other fields valid.</t>
  </si>
  <si>
    <t>Do not choose Year. Click Update.</t>
  </si>
  <si>
    <t>Required validation. No row created/updated.</t>
  </si>
  <si>
    <t>No new row.</t>
  </si>
  <si>
    <t>Keyboard</t>
  </si>
  <si>
    <t>Check correct selection and focus return after Enter.</t>
  </si>
  <si>
    <t>Focus management correct.</t>
  </si>
  <si>
    <t>✅ Pure UI (Selenium + NUnit + Reqnroll) — page load, grid detection, empty state verification</t>
  </si>
  <si>
    <t>✅ Pure UI — form fill, Add click, toast + grid row verification</t>
  </si>
  <si>
    <t>✅ Pure UI — add same data twice, assert single row, error toast</t>
  </si>
  <si>
    <t>✅ Pure UI — edit row, verify toast and updated text</t>
  </si>
  <si>
    <t>✅ Pure UI — click delete, confirm toast, assert grid row gone</t>
  </si>
  <si>
    <t>✅ Pure UI (🧰 partly better outside Selenium for deep XSS testing) — input &lt;script&gt;alert(1)&lt;/script&gt;, assert no alert and encoded render</t>
  </si>
  <si>
    <t>✅ Pure UI (Selenium + NUnit + Reqnroll) — dropdown open, validate last option equals system year</t>
  </si>
  <si>
    <t>⚠️ Needs network control — requires DevTools/Playwright request tamper to inject year 2050</t>
  </si>
  <si>
    <t>✅ Pure UI — simulate multiple clicks, assert only one record and single toast</t>
  </si>
  <si>
    <t>✅ Pure UI — skip Year, click Update, verify inline validation and no record created</t>
  </si>
  <si>
    <t>Out-of-range year below minimum blocked server-side</t>
  </si>
  <si>
    <t>Title placeholder cannot persist</t>
  </si>
  <si>
    <t>Ensure Title placeholder cannot be submitted and is not treated as a valid value.</t>
  </si>
  <si>
    <t>Open Title dropdown. Leave default placeholder. Click Update.</t>
  </si>
  <si>
    <t>Validation blocks save. Placeholder cannot persist.</t>
  </si>
  <si>
    <t>No row created/updated.</t>
  </si>
  <si>
    <t>Success toast auto-dismiss and non-blocking</t>
  </si>
  <si>
    <t>Ensure success toast disappears within configured timeout and does not block subsequent actions.</t>
  </si>
  <si>
    <t>Valid create action available.</t>
  </si>
  <si>
    <t>Create record. Immediately attempt another action while toast visible. Wait for auto-dismiss.</t>
  </si>
  <si>
    <t>Toast appears, actions remain clickable, toast auto-dismisses.</t>
  </si>
  <si>
    <t>One new row only.</t>
  </si>
  <si>
    <t>Add → Edit → Delete sequence in one session</t>
  </si>
  <si>
    <t>Validate end-to-end state consistency across CRUD in Education.</t>
  </si>
  <si>
    <t>1) Add education record. 2) Edit same record’s Title/Year. 3) Delete same record.</t>
  </si>
  <si>
    <t>Perform add, edit, and delete back-to-back to ensure state consistency and no stale cache.</t>
  </si>
  <si>
    <t>User logged in.</t>
  </si>
  <si>
    <t>Add new record. Edit value. Delete same record.</t>
  </si>
  <si>
    <t>All three operations succeed. Final grid has no residual row.</t>
  </si>
  <si>
    <t>No test data remains.</t>
  </si>
  <si>
    <t>Education tab loaded correctly with empty grid and no console errors.</t>
  </si>
  <si>
    <t>New education record added successfully and displayed in grid.</t>
  </si>
  <si>
    <t>Duplicate entry prevented; error toast shown as expected.</t>
  </si>
  <si>
    <t>Edit saved correctly; updated values visible immediately.</t>
  </si>
  <si>
    <t>Delete removed record from grid; no residual data.</t>
  </si>
  <si>
    <t>Required field left blank blocked submission.</t>
  </si>
  <si>
    <t>Unauthorized request blocked; 401 returned.</t>
  </si>
  <si>
    <t>Add → Edit → Delete executed successfully; final grid empty.</t>
  </si>
  <si>
    <t>Verified page load and layout consistency; UI stable.</t>
  </si>
  <si>
    <t>Toast confirmation received; field values saved.</t>
  </si>
  <si>
    <t>Validation rule triggered as designed.</t>
  </si>
  <si>
    <t>Data persisted and reflected in UI.</t>
  </si>
  <si>
    <t>Verified deletion and success toast.</t>
  </si>
  <si>
    <t>No alert triggered; sanitization effective.</t>
  </si>
  <si>
    <t>Year dropdown bounded to current year.</t>
  </si>
  <si>
    <t>Verified last option equals system year.</t>
  </si>
  <si>
    <t>Tamper confirmed; 4xx returned and UI handled gracefully.</t>
  </si>
  <si>
    <t>Rapid clicks created single record only.</t>
  </si>
  <si>
    <t>Debounce control functional.</t>
  </si>
  <si>
    <t>Required validation triggered; no record created.</t>
  </si>
  <si>
    <t>Inline error displayed; toast consistent.</t>
  </si>
  <si>
    <t>Keyboard and ARIA behavior verified.</t>
  </si>
  <si>
    <t>No persistence; handled like 2050 scenario.</t>
  </si>
  <si>
    <t>Placeholder disabled; verified no duplicates.</t>
  </si>
  <si>
    <t>Title placeholder not accepted; validation triggered.</t>
  </si>
  <si>
    <t>Toast displayed, dismisses automatically, UI clickable.</t>
  </si>
  <si>
    <t>Add → Edit → Delete executed successfully; grid empty after cleanup.</t>
  </si>
  <si>
    <t>End-to-end CRUD validated; state consistent.</t>
  </si>
  <si>
    <t>ui, a11y, ux</t>
  </si>
  <si>
    <t>security, xss, validation</t>
  </si>
  <si>
    <t>security, neg, api</t>
  </si>
  <si>
    <t>robustness, ui</t>
  </si>
  <si>
    <t>neg, api, boundary</t>
  </si>
  <si>
    <t>a11y, keyboard, ux</t>
  </si>
  <si>
    <t>validation, ux</t>
  </si>
  <si>
    <t>ui, a11y, ux,smoke</t>
  </si>
  <si>
    <t>ui, crud, functional,smoke</t>
  </si>
  <si>
    <t>validation, robustness,smoke</t>
  </si>
  <si>
    <t>crud, ui, functional,smoke</t>
  </si>
  <si>
    <t>boundary, ui,smoke</t>
  </si>
  <si>
    <t>validation, ui,smoke</t>
  </si>
  <si>
    <t>ui, ux,smoke</t>
  </si>
  <si>
    <t>ui, crud, robustness,smoke</t>
  </si>
  <si>
    <t>Logged in; Certifications tab open.</t>
  </si>
  <si>
    <t>Certifications tab open</t>
  </si>
  <si>
    <t>Year dropdown descending order and complete</t>
  </si>
  <si>
    <t>Verify Year dropdown is in descending order and has no duplicates</t>
  </si>
  <si>
    <t>Open Year dropdown. Scroll start to end.</t>
  </si>
  <si>
    <t>AllYears present, alphabetical, no duplicates. Placeholder disabled.</t>
  </si>
  <si>
    <t>Year dropdown complete and alphabetized.</t>
  </si>
  <si>
    <t>Save blocked; error visible.</t>
  </si>
  <si>
    <t>Toast duration verified.</t>
  </si>
  <si>
    <t>User logged in.
Profile &gt; Certifications tab visible.
Developer tools or an intercepting proxy (e.g., Chrome DevTools Network, Fiddler, Charles, Playwright, or HttpClient CDP) available.
At least one valid certification entry can be added normally (for baseline comparison).</t>
  </si>
  <si>
    <t>Verify that tampering the request payload to set a year earlier than the system’s minimum (e.g., 1990) is rejected by the backend and does not persist data.</t>
  </si>
  <si>
    <t>Server responds with HTTP 4xx (validation or bad request).
Response body or UI toast shows error or validation message (e.g., “Invalid Year”).
No certification row is added or updated.
Database and UI remain unchanged.</t>
  </si>
  <si>
    <t>Requires network interception capability; not automatable through pure Selenium UI alone.</t>
  </si>
  <si>
    <t>1)Open Chrome DevTools → Network.
2)Perform a normal “Add Certification” in UI with a valid year (e.g., 2021).
3)In Network, select the POST/PUT call your app sends.
4)Right-click → Copy → Copy as cURL.
5)Paste into a terminal:
Windows: PowerShell or Git Bash.
6)Edit the JSON in --data-raw to set "year"2045". Keep the Authorization header intact.
7)Run the command.</t>
  </si>
  <si>
    <t>1)Open Chrome DevTools → Network.
2)Perform a normal “Add Certification” in UI with a valid year (e.g., 2021).
3)In Network, select the POST/PUT call your app sends.
4)Right-click → Copy → Copy as cURL.
5)Paste into a terminal:
Windows: PowerShell or Git Bash.
6)Edit the JSON in --data-raw to set "year"1990". Keep the Authorization header intact.
7)Run the command.</t>
  </si>
  <si>
    <t>Server accepted the tampered request and returned:
  --data-raw '{"certificationName":"TTT","certificationFrom":"TTT","certificationYear":"1990"}'
{"success":true,"id":"68fc6f9e5d0d0b5f4bc517ff"}
HTTP status: 200 OK
Record persisted in the database.
The new certification (“TTT”, “TTT”, Year = 2045) appears in the UI grid.</t>
  </si>
  <si>
    <t>Click Update button five times quickly with valid fields.</t>
  </si>
  <si>
    <t>Certificate</t>
  </si>
  <si>
    <t>Focus indicator visible; Enter does not trigger unintended submit.</t>
  </si>
  <si>
    <t>From</t>
  </si>
  <si>
    <t>Focus shifts correctly to Year dropdown.</t>
  </si>
  <si>
    <t>Focus order correct.</t>
  </si>
  <si>
    <t>Focus advances logically to Year field.</t>
  </si>
  <si>
    <t>Keyboard/ARIA</t>
  </si>
  <si>
    <t>Arrow and Enter behavior on dropdown</t>
  </si>
  <si>
    <t>Tab to Year, use ArrowDown/ArrowUp, press Enter.</t>
  </si>
  <si>
    <t>Correct selection. Focus returns to Add/Update.</t>
  </si>
  <si>
    <t>aria-expanded toggles; aria-activedescendant updates.</t>
  </si>
  <si>
    <t>Add/Update</t>
  </si>
  <si>
    <t>Enter triggers once and focus visible</t>
  </si>
  <si>
    <t>Check single activation and visible outline.</t>
  </si>
  <si>
    <t>Tab to Add/Update, press Enter.</t>
  </si>
  <si>
    <t>Button fires once. Focus outline visible.</t>
  </si>
  <si>
    <t>No double submit; focus ring visible.</t>
  </si>
  <si>
    <t>Edit icon</t>
  </si>
  <si>
    <t>Check accessibility of Edit action.</t>
  </si>
  <si>
    <t>Tab to Edit icon, press Enter.</t>
  </si>
  <si>
    <t>Edit mode opens. Focus moves to editable field.</t>
  </si>
  <si>
    <t>Focus moves into edit field correctly.</t>
  </si>
  <si>
    <t>Delete icon</t>
  </si>
  <si>
    <t>Check deletion keyboard flow and focus return.</t>
  </si>
  <si>
    <t>Tab to Delete icon, press Enter, confirm dialog.</t>
  </si>
  <si>
    <t>Delete confirmation appears. Focus lands on primary button.</t>
  </si>
  <si>
    <t>Focus returns to Delete after dialog close.</t>
  </si>
  <si>
    <t>Tab focus and typing behavior</t>
  </si>
  <si>
    <t>Check Certificate field accepts focus and text input.</t>
  </si>
  <si>
    <t>Tab to Certificate field, type sample text, press Enter.</t>
  </si>
  <si>
    <t>Text input “abc”</t>
  </si>
  <si>
    <t>Focus remains in Certificate field. No form submission.</t>
  </si>
  <si>
    <t>Focus and typing stable.</t>
  </si>
  <si>
    <t>Fully feasible in Selenium using SendKeys(Keys.Tab/Enter) and JS to verify document.activeElement.</t>
  </si>
  <si>
    <t>Tab focus and Enter navigation</t>
  </si>
  <si>
    <t>Check focus and field order.</t>
  </si>
  <si>
    <t>Tab to From field, type sample text, press Enter.</t>
  </si>
  <si>
    <t>Text input “xyz”</t>
  </si>
  <si>
    <t>Fully feasible in Selenium using SendKeys(Keys.Tab/Enter) and JS activeElement checks.</t>
  </si>
  <si>
    <t>Check selection and focus return after Enter.</t>
  </si>
  <si>
    <t>Select 2021</t>
  </si>
  <si>
    <t>Partially feasible in Selenium. Use JS executor to read aria attributes; deeper A11Y via aXe/Accessibility Insights.</t>
  </si>
  <si>
    <t>Tab to Add/Update button, press Enter.</t>
  </si>
  <si>
    <t>Fully feasible in Selenium. Validate click count and focus outline via CSS check.</t>
  </si>
  <si>
    <t>Fully feasible in Selenium. Use SendKeys(Keys.Tab/Enter) and verify focus via JS.</t>
  </si>
  <si>
    <t>Fully feasible in Selenium. Use Keys.Enter and verify focus restored post-dialog.</t>
  </si>
  <si>
    <t>Tab to Country, use ArrowDown/ArrowUp, press Enter, then Tab.</t>
  </si>
  <si>
    <t>Correct Country selected. Focus returns to University.</t>
  </si>
  <si>
    <t>Partially feasible in Selenium; verify ARIA via JS executor.</t>
  </si>
  <si>
    <t>Check focus and typing; Enter does not submit.</t>
  </si>
  <si>
    <t>Tab to University, type sample text, press Enter.</t>
  </si>
  <si>
    <t>Focus stays or advances only on Tab. No unintended submit.</t>
  </si>
  <si>
    <t>Keyboard behavior verified.</t>
  </si>
  <si>
    <t>Tab to Title, open with ArrowDown/Alt+Down, navigate with arrows, press Enter, then Tab.</t>
  </si>
  <si>
    <t>Correct Title selected. Focus returns to Degree.</t>
  </si>
  <si>
    <t>Partially feasible in Selenium; read ARIA with JS.</t>
  </si>
  <si>
    <t>Tab to Degree, type sample text, press Enter.</t>
  </si>
  <si>
    <t>No auto-submit. Next Tab moves to Graduation Year.</t>
  </si>
  <si>
    <t>Check selection and focus return to Add/Update.</t>
  </si>
  <si>
    <t>Tab to Graduation Year, ArrowDown/ArrowUp to navigate, press Enter, then Tab.</t>
  </si>
  <si>
    <t>Correct year selected. Focus moves to Add/Update.</t>
  </si>
  <si>
    <t>Partially feasible in Selenium; verify ARIA via JS.</t>
  </si>
  <si>
    <t>One activation only. Focus outline visible.</t>
  </si>
  <si>
    <t>No double submit.</t>
  </si>
  <si>
    <t>Check keyboard access to Edit and focus placement.</t>
  </si>
  <si>
    <t>Tab to first row Edit icon, press Enter.</t>
  </si>
  <si>
    <t>Edit mode opens. Focus lands in editable field.</t>
  </si>
  <si>
    <t>Check dialog focus and return path.</t>
  </si>
  <si>
    <t>Tab to Delete icon, press Enter, confirm dialog, Esc or Cancel to close.</t>
  </si>
  <si>
    <t>Delete dialog shows. Focus on primary action; on close, focus returns to Delete.</t>
  </si>
  <si>
    <t>Focus return correct.</t>
  </si>
  <si>
    <t>Assert single click; check outline CSS.
Fully feasible in Selenium.</t>
  </si>
  <si>
    <t>Use SendKeys(Keys.Tab/Enter); verify focus via JS.
Fully feasible in Selenium.</t>
  </si>
  <si>
    <t>Use SendKeys and JS activeElement checks.
Fully feasible in Selenium.</t>
  </si>
  <si>
    <t>Use SendKeys(Keys.Tab/Enter); verify document.activeElement via JS.Fully feasible in Selenium.</t>
  </si>
  <si>
    <t>no row created.
Red error toast: "Please enter all the fields"</t>
  </si>
  <si>
    <r>
      <t xml:space="preserve">Feasible via API-level test using Selenium, </t>
    </r>
    <r>
      <rPr>
        <b/>
        <sz val="8"/>
        <color theme="1"/>
        <rFont val="Calibri"/>
        <family val="2"/>
        <scheme val="minor"/>
      </rPr>
      <t>Reqnroll + HttpClient</t>
    </r>
    <r>
      <rPr>
        <sz val="8"/>
        <color theme="1"/>
        <rFont val="Calibri"/>
        <family val="2"/>
        <scheme val="minor"/>
      </rPr>
      <t xml:space="preserve">, or </t>
    </r>
    <r>
      <rPr>
        <b/>
        <sz val="8"/>
        <color theme="1"/>
        <rFont val="Calibri"/>
        <family val="2"/>
        <scheme val="minor"/>
      </rPr>
      <t>WireMock</t>
    </r>
    <r>
      <rPr>
        <sz val="8"/>
        <color theme="1"/>
        <rFont val="Calibri"/>
        <family val="2"/>
        <scheme val="minor"/>
      </rPr>
      <t>.</t>
    </r>
  </si>
  <si>
    <t>Value accepted and row displayed
Blue success toast : "&lt;script&gt;alert(1)&lt;/script&gt;" has been added to your certification"</t>
  </si>
  <si>
    <t>1) Click Add New
2) Enter Title as ';'
3) Click Add
4) Verify no crash; either validation error or safe storage</t>
  </si>
  <si>
    <t>Value accepted and row displayed
Blue success toast : "DROP TABLE Education;" has been added to your certification"</t>
  </si>
  <si>
    <t>No row created or modified.
Cancel aborts Add row</t>
  </si>
  <si>
    <t>—</t>
  </si>
  <si>
    <t>Negative, Validation</t>
  </si>
  <si>
    <t>Year required when left blank</t>
  </si>
  <si>
    <t>Verify the system blocks adding education when Year is not selected.</t>
  </si>
  <si>
    <t>Form not saved; no row added in grid. Validation error or toast message appears.</t>
  </si>
  <si>
    <t xml:space="preserve">1) Ensure Year dropdown shows “Year of Graduation.”2) Click Add </t>
  </si>
  <si>
    <t>Long input rejected</t>
  </si>
  <si>
    <t>Verify that extremely long Certificate and From text is either rejected or safely truncated.</t>
  </si>
  <si>
    <t>1) Click Add New2) Enter 500-character strings in Certificate and From3) Click Add</t>
  </si>
  <si>
    <t>Either validation error or safe truncation; no UI break.</t>
  </si>
  <si>
    <t>Pending</t>
  </si>
  <si>
    <t>security, boundary</t>
  </si>
  <si>
    <t>Extend destructive coverage parity with Education.</t>
  </si>
  <si>
    <t>SQL-like text handled safely</t>
  </si>
  <si>
    <t>Verify backend rejects SQL-like payloads.</t>
  </si>
  <si>
    <t>1) Add New2) Enter “DROP TABLE Certifications;” in Certificate3) Click Add</t>
  </si>
  <si>
    <t>No crash; value rejected or encoded safely.</t>
  </si>
  <si>
    <t>security, sqlinjection</t>
  </si>
  <si>
    <t>Mirror EDU-09 coverage.</t>
  </si>
  <si>
    <t>Clipboard paste validation</t>
  </si>
  <si>
    <t>Ensure pasted invalid text in dropdown search does not break UI or submit invalid value.</t>
  </si>
  <si>
    <t>Validation error or ignored paste; no new row.</t>
  </si>
  <si>
    <t>UI stable; no record created.</t>
  </si>
  <si>
    <t>validation, ux, clipboard</t>
  </si>
  <si>
    <t>Add clipboard test parity with Education.</t>
  </si>
  <si>
    <t>Duplicate replay rejected</t>
  </si>
  <si>
    <t>Verify replaying same POST returns 409/422.</t>
  </si>
  <si>
    <t>Valid certification created</t>
  </si>
  <si>
    <t>1) Capture API payload2) Replay same request twice</t>
  </si>
  <si>
    <t>API returns 409/422; no duplicate row.</t>
  </si>
  <si>
    <t>One record only.</t>
  </si>
  <si>
    <t>api, duplication</t>
  </si>
  <si>
    <t>API parity with Education.</t>
  </si>
  <si>
    <t>Reqnroll + HttpClient or WireMock</t>
  </si>
  <si>
    <t>Verify invalid dropdown IDs rejected by backend.</t>
  </si>
  <si>
    <t>Auth token valid</t>
  </si>
  <si>
    <t>api, validation</t>
  </si>
  <si>
    <t>Reqnroll + HttpClient</t>
  </si>
  <si>
    <t>Verify unauthenticated request returns 401/403.</t>
  </si>
  <si>
    <t>Auth header removed</t>
  </si>
  <si>
    <t>401/403 returned; no grid update.</t>
  </si>
  <si>
    <t>No new record.</t>
  </si>
  <si>
    <t>api, auth</t>
  </si>
  <si>
    <t>Required for backend hardening.</t>
  </si>
  <si>
    <t>Malformed JSON rejected</t>
  </si>
  <si>
    <t>Verify backend rejects malformed payloads.</t>
  </si>
  <si>
    <t>Auth valid</t>
  </si>
  <si>
    <t>1) Submit broken JSON (e.g., missing closing brace)</t>
  </si>
  <si>
    <t>400 Bad Request; no persistence.</t>
  </si>
  <si>
    <t>api, robustness</t>
  </si>
  <si>
    <t>Defensive test parity with Education.</t>
  </si>
  <si>
    <t>Reqnroll + WireMock</t>
  </si>
  <si>
    <t>Unicode names persist</t>
  </si>
  <si>
    <t>Verify non-Latin text renders correctly.</t>
  </si>
  <si>
    <t>Row shows Unicode correctly.</t>
  </si>
  <si>
    <t>No corruption or truncation.</t>
  </si>
  <si>
    <t>i18n, ui</t>
  </si>
  <si>
    <t>Unicode persistence parity with Education.</t>
  </si>
  <si>
    <t>CERT-08</t>
  </si>
  <si>
    <t>CERT-09</t>
  </si>
  <si>
    <t>CERT-10</t>
  </si>
  <si>
    <t>CERT-11</t>
  </si>
  <si>
    <t>CERT-12</t>
  </si>
  <si>
    <t>CERT-13</t>
  </si>
  <si>
    <t>CERT-14</t>
  </si>
  <si>
    <t>CERT-15</t>
  </si>
  <si>
    <t>CERT-16</t>
  </si>
  <si>
    <t>CERT-17</t>
  </si>
  <si>
    <t>CERT-18</t>
  </si>
  <si>
    <t>CERT-19</t>
  </si>
  <si>
    <t>CERT-20</t>
  </si>
  <si>
    <t>CERT-21</t>
  </si>
  <si>
    <t>CERT-22</t>
  </si>
  <si>
    <t>CERT-24</t>
  </si>
  <si>
    <t>CERT-25</t>
  </si>
  <si>
    <t>CERT-26</t>
  </si>
  <si>
    <t>EDU-20</t>
  </si>
  <si>
    <t>EDU-21</t>
  </si>
  <si>
    <t>EDU-22</t>
  </si>
  <si>
    <t>EDU-23</t>
  </si>
  <si>
    <t>EDU-24</t>
  </si>
  <si>
    <t>EDU-25</t>
  </si>
  <si>
    <t>EDU-26</t>
  </si>
  <si>
    <t>EDU-27</t>
  </si>
  <si>
    <t>EDU-28</t>
  </si>
  <si>
    <t>EDU-29</t>
  </si>
  <si>
    <t>EDU-30</t>
  </si>
  <si>
    <t>EDU-31</t>
  </si>
  <si>
    <t>EDU-32</t>
  </si>
  <si>
    <t>EDU-33</t>
  </si>
  <si>
    <t>EDU-35</t>
  </si>
  <si>
    <t>EDU-36</t>
  </si>
  <si>
    <t>Verify 500-character text in University or Title fields handled safely.</t>
  </si>
  <si>
    <t>Verify pasted invalid text in dropdown search does not bypass validation.</t>
  </si>
  <si>
    <t>Verify backend rejects malformed API payloads gracefully.</t>
  </si>
  <si>
    <t>Verify POST without Authorization header returns 401/403.</t>
  </si>
  <si>
    <t>401/403 returned; no persistence.</t>
  </si>
  <si>
    <t>No record created. Error shown.
Red error toast: "Please enter all the fields"</t>
  </si>
  <si>
    <t>Out-of-range/invalid Country blocked server-side</t>
  </si>
  <si>
    <t>Server rejects tampered Country not in dropdown list.</t>
  </si>
  <si>
    <t>Destructive, API</t>
  </si>
  <si>
    <t>Out-of-range/invalid Title blocked server-side</t>
  </si>
  <si>
    <t>Server rejects tampered Title not in dropdown list.</t>
  </si>
  <si>
    <t>Create once, then replay identical payload; validate contract-compliant error</t>
  </si>
  <si>
    <t>HTTP 200 with body {"success":false,"message":"This information is already exist."}; grid count unchanged</t>
  </si>
  <si>
    <t>1) Add New
2) Paste 500-character string in University
3) Click Add</t>
  </si>
  <si>
    <t>1) POST create payload
2) POST same payload again
3) Verify status code and DB/UI count</t>
  </si>
  <si>
    <t>Saves without silent truncation</t>
  </si>
  <si>
    <t>Max equals current year.
Min year equals lower bound; no earlier years</t>
  </si>
  <si>
    <t>Year dropdown: upper bound limited to current year.Lower bound enforced</t>
  </si>
  <si>
    <t>1) Open Year dropdown
2) Collect all options as integers
3) Assert max equals current year
4)Assert min equals lower bound</t>
  </si>
  <si>
    <t>Server accepted the tampered request and returned:
  --data-raw '{"certificationName":"istqb","certificationFrom":"istqbctal","certificationYear":"2045"}'
{"success":true,"id":"68fc6cc55d0d0b5f4bc517fd"}
HTTP status: 200 OK
Record persisted in the database.
The new certification (“istqb”, “istqbctal”, Year = 2045) appears in the UI grid.</t>
  </si>
  <si>
    <t>Numbers-only rejected for University and Degree</t>
  </si>
  <si>
    <t>1) Capture valid request
2) Modify body to invalid JSON
3) Replay via terminal</t>
  </si>
  <si>
    <t>1) Focus on Country dropdown
2) Paste “abcd1234@@@”3) Click Add</t>
  </si>
  <si>
    <t>row added
Blue success toast: "Education has been added"</t>
  </si>
  <si>
    <t>1) Send API request without Authorization header
2) Observe response</t>
  </si>
  <si>
    <r>
      <t xml:space="preserve">1) Create a valid Education via UI.
2) Capture create request in Network.
3) Modify Title to an invalid value (e.g., titleId=999999 or placeholderId=0, or free-text </t>
    </r>
    <r>
      <rPr>
        <sz val="8"/>
        <color theme="1"/>
        <rFont val="Arial Unicode MS"/>
      </rPr>
      <t>"DoctorateX"</t>
    </r>
    <r>
      <rPr>
        <sz val="8"/>
        <color theme="1"/>
        <rFont val="Calibri"/>
        <family val="2"/>
        <scheme val="minor"/>
      </rPr>
      <t>).
4) Resend tampered request.
5) Refresh grid and verify no insertion.</t>
    </r>
  </si>
  <si>
    <t>1) Create a valid Education via UI.
2) Capture create request in Network.
3) Modify Country to an invalid value (e.g., country=999999/0 ).
4) Resend tampered request.
5) Refresh grid and verify no insertion.</t>
  </si>
  <si>
    <t>Input ignored</t>
  </si>
  <si>
    <t>401 returned</t>
  </si>
  <si>
    <t>API client (HttpClient/RestSharp) + UI verify → tamper year; expect 4xx and grid unchanged.</t>
  </si>
  <si>
    <t>Pure UI (Selenium + NUnit + Reqnroll) → navigation + DOM asserts.</t>
  </si>
  <si>
    <t>Pure UI (Selenium + NUnit + Reqnroll) → fill form, assert row and toast.</t>
  </si>
  <si>
    <t>Pure UI (Selenium + NUnit + Reqnroll) → count before/after; assert duplicate toast.</t>
  </si>
  <si>
    <t>Pure UI (Selenium + NUnit + Reqnroll) → edit row and assert toast and updated cell.</t>
  </si>
  <si>
    <t>Pure UI (Selenium + NUnit + Reqnroll) → count before/after; verify deletion.</t>
  </si>
  <si>
    <t>Pure UI (Selenium + NUnit + Reqnroll) → expect no new row or change after Cancel.</t>
  </si>
  <si>
    <t>Pure UI (Selenium + NUnit + Reqnroll) → assert validation toast and unchanged grid.</t>
  </si>
  <si>
    <t>Pure UI (Selenium + NUnit + Reqnroll) → assert escaped text; verify no alert (XSS).</t>
  </si>
  <si>
    <t>Pure UI (Selenium + NUnit + Reqnroll) → assert SQL-like text rendered plain.</t>
  </si>
  <si>
    <t>Pure UI (Selenium + NUnit + Reqnroll) → open dropdown, scrape options, assert order and placeholder.</t>
  </si>
  <si>
    <t>Pure UI (Selenium + NUnit + Reqnroll) → leave Country blank; assert red toast and no row.</t>
  </si>
  <si>
    <t>Pure UI (Selenium + NUnit + Reqnroll) → select placeholder; assert validation error.</t>
  </si>
  <si>
    <t>Pure UI (Selenium + NUnit + Reqnroll) → type-ahead search; assert correct binding.</t>
  </si>
  <si>
    <t>Pure UI (Selenium + NUnit + Reqnroll) → press ESC; assert dropdown closes unchanged.</t>
  </si>
  <si>
    <t>Pure UI (Selenium + NUnit + Reqnroll) → capture year list; assert upper/lower bounds.</t>
  </si>
  <si>
    <t>Pure UI (Selenium + NUnit + Reqnroll) → verify year order descending and unique.</t>
  </si>
  <si>
    <t>Pure UI (Selenium + NUnit + Reqnroll) → omit year; assert validation toast.</t>
  </si>
  <si>
    <t>API client (HttpClient/RestSharp) + UI verify → replay duplicate payload; expect 409/422.</t>
  </si>
  <si>
    <t>API client (HttpClient/RestSharp) + UI verify → omit token; expect 401/403; no row added.</t>
  </si>
  <si>
    <t>Pure UI (Selenium + NUnit + Reqnroll) → navigate pagination and verify record counts.</t>
  </si>
  <si>
    <t>Pure UI (Selenium + NUnit + Reqnroll) → enter non-Latin text; assert stored and rendered safely.</t>
  </si>
  <si>
    <t>Pure UI (Selenium + NUnit + Reqnroll) → input 255 chars; assert accepted.</t>
  </si>
  <si>
    <t>Pure UI (Selenium + NUnit + Reqnroll) → input &gt;255 chars; assert rejected.</t>
  </si>
  <si>
    <t>Pure UI (Selenium + NUnit + Reqnroll) → whitespace-only input; assert validation.</t>
  </si>
  <si>
    <t>Pure UI (Selenium + NUnit + Reqnroll) → emoji/control chars; assert rejection.</t>
  </si>
  <si>
    <t>Pure UI (Selenium + NUnit + Reqnroll) → numeric-only input; assert rejected.</t>
  </si>
  <si>
    <t>Pure UI (Selenium + NUnit + Reqnroll) → add → edit → delete sequence; assert grid state.</t>
  </si>
  <si>
    <t>Pure UI (Selenium + NUnit + Reqnroll) → long text input; assert safe rendering and no layout break.</t>
  </si>
  <si>
    <t>Pure UI (Selenium + NUnit + Reqnroll) → paste invalid text; assert validation enforced.</t>
  </si>
  <si>
    <t>API client (HttpClient/RestSharp) + UI verify → send malformed JSON; expect 4xx.</t>
  </si>
  <si>
    <t>API client (HttpClient/RestSharp) + UI verify → missing Authorization header; expect 401/403.</t>
  </si>
  <si>
    <t>API client (HttpClient/RestSharp) + UI verify → tamper invalid CountryId; expect 4xx and grid unchanged.</t>
  </si>
  <si>
    <t>API client (HttpClient/RestSharp) + UI verify → tamper invalid TitleId; expect 4xx and grid unchanged.</t>
  </si>
  <si>
    <t>Capture screenshot of empty grid and browser console. Log load time.</t>
  </si>
  <si>
    <t>Record before/after row count. Save toast text. Attach DOM snapshot.</t>
  </si>
  <si>
    <t>Prove single row count. Capture red-toast text. Attach network log if fired.</t>
  </si>
  <si>
    <t>Assert cell text change and updated timestamp if present. Screenshot diff.</t>
  </si>
  <si>
    <t>Verify hard delete vs soft delete. Confirm row absent after refresh.</t>
  </si>
  <si>
    <t>Assert no network call on Cancel. Row count unchanged.</t>
  </si>
  <si>
    <t>Validate specific field errors. No request sent. Keep toast copy.</t>
  </si>
  <si>
    <t>Treat as rendering check. Ensure no errors server/client. Keep payload in evidence.</t>
  </si>
  <si>
    <t>Export option list text to file. Assert A→Z and uniqueness. Placeholder not selectable.</t>
  </si>
  <si>
    <t>Prove no row persisted. Keep validation locator and message wording.</t>
  </si>
  <si>
    <t>Record keys sent and selected value. Assert no free-text entry possible.</t>
  </si>
  <si>
    <t>Verify focus returns correctly. No value mutation.</t>
  </si>
  <si>
    <t>Compare max year to system year. Log min bound source.</t>
  </si>
  <si>
    <t>Assert strict descending and no duplicates. Attach captured list.</t>
  </si>
  <si>
    <t>Prove unchanged row count and validation toast.</t>
  </si>
  <si>
    <t>Store request/response pair. Expect 4xx. After refresh, verify no new row. Mask token.</t>
  </si>
  <si>
    <t>Expect 409/422; current system returns 200 with failure body. Log contract gap.</t>
  </si>
  <si>
    <t>Send without/invalid token. Expect 401/403. Confirm no persistence.</t>
  </si>
  <si>
    <t>Seed data deterministically. Verify page counts, prev/next, boundary edges.</t>
  </si>
  <si>
    <t>Use UTF-8 examples (é, العربية). Verify storage and rendering intact.</t>
  </si>
  <si>
    <t>Use exact 255 chars. Assert no silent truncation. Capture length server-side if returned.</t>
  </si>
  <si>
    <t>Use 256+ chars. Expect validation. Prove no persistence.</t>
  </si>
  <si>
    <t>Trim check. Spaces only rejected. Assert message consistency.</t>
  </si>
  <si>
    <t>Numeric-only rejected. Validate per field rule. Attach toast text.</t>
  </si>
  <si>
    <t>One test session: add→edit→delete. Final grid equals baseline. Clean up artifacts.</t>
  </si>
  <si>
    <t>500-char stress. Assert layout stable and no acceptance. Track performance hit.</t>
  </si>
  <si>
    <t>Simulate paste. Ensure validation still triggers. No bypass via clipboard.</t>
  </si>
  <si>
    <t>Malformed JSON returns 4xx. Attach raw body and response. Grid unchanged.</t>
  </si>
  <si>
    <t>POST without Authorization. Document response headers. No side effects.</t>
  </si>
  <si>
    <t>Tamper Title ID/string. Expect 4xx; grid unchanged. Document variants tried.</t>
  </si>
  <si>
    <r>
      <t xml:space="preserve">Assert literal escaping in grid. Capture </t>
    </r>
    <r>
      <rPr>
        <sz val="8"/>
        <color theme="1"/>
        <rFont val="Arial Unicode MS"/>
      </rPr>
      <t>window.alert</t>
    </r>
    <r>
      <rPr>
        <sz val="8"/>
        <color theme="1"/>
        <rFont val="Calibri"/>
        <family val="2"/>
        <scheme val="minor"/>
      </rPr>
      <t xml:space="preserve"> absence and console.</t>
    </r>
  </si>
  <si>
    <r>
      <t>Placeholder cannot submit. Document control state (</t>
    </r>
    <r>
      <rPr>
        <sz val="8"/>
        <color theme="1"/>
        <rFont val="Arial Unicode MS"/>
      </rPr>
      <t>disabled/aria-disabled</t>
    </r>
    <r>
      <rPr>
        <sz val="8"/>
        <color theme="1"/>
        <rFont val="Calibri"/>
        <family val="2"/>
        <scheme val="minor"/>
      </rPr>
      <t>).</t>
    </r>
  </si>
  <si>
    <r>
      <t xml:space="preserve">Include emoji and control </t>
    </r>
    <r>
      <rPr>
        <sz val="8"/>
        <color theme="1"/>
        <rFont val="Arial Unicode MS"/>
      </rPr>
      <t>\x07</t>
    </r>
    <r>
      <rPr>
        <sz val="8"/>
        <color theme="1"/>
        <rFont val="Calibri"/>
        <family val="2"/>
        <scheme val="minor"/>
      </rPr>
      <t>. Expect rejection. Record any normalization.</t>
    </r>
  </si>
  <si>
    <r>
      <t xml:space="preserve">Tamper </t>
    </r>
    <r>
      <rPr>
        <sz val="8"/>
        <color theme="1"/>
        <rFont val="Arial Unicode MS"/>
      </rPr>
      <t>countryId</t>
    </r>
    <r>
      <rPr>
        <sz val="8"/>
        <color theme="1"/>
        <rFont val="Calibri"/>
        <family val="2"/>
        <scheme val="minor"/>
      </rPr>
      <t xml:space="preserve"> (0, -1, 999999, "Atlantis"). Expect 4xx; grid unchanged.</t>
    </r>
  </si>
  <si>
    <t>ui, smoke</t>
  </si>
  <si>
    <t>ui, crud, smoke</t>
  </si>
  <si>
    <t>ui, validation, neg, duplication</t>
  </si>
  <si>
    <t>ui, crud, update, smoke</t>
  </si>
  <si>
    <t>ui, crud, delete, smoke</t>
  </si>
  <si>
    <t>ui, ux, usability</t>
  </si>
  <si>
    <t>ui, validation, neg</t>
  </si>
  <si>
    <t>ui, security, xss, neg</t>
  </si>
  <si>
    <t>ui, security, sqlinjection, neg</t>
  </si>
  <si>
    <t>ui, dropdown, ux, a11y</t>
  </si>
  <si>
    <t>ui, validation, ux, neg</t>
  </si>
  <si>
    <t>ui, dropdown, ux</t>
  </si>
  <si>
    <t>ui, year, boundary, smoke</t>
  </si>
  <si>
    <t>ui, year, ux, a11y</t>
  </si>
  <si>
    <t>ui, validation, neg, year</t>
  </si>
  <si>
    <t>api, security, neg, boundary</t>
  </si>
  <si>
    <t>api, duplication, neg</t>
  </si>
  <si>
    <t>api, auth, security</t>
  </si>
  <si>
    <t>ui, grid, pagination, ux</t>
  </si>
  <si>
    <t>ui, i18n, unicode</t>
  </si>
  <si>
    <t>ui, validation, positive</t>
  </si>
  <si>
    <t>ui, validation, neg, boundary</t>
  </si>
  <si>
    <t>ui, validation, neg, robustness</t>
  </si>
  <si>
    <t>ui, crud, robustness, smoke</t>
  </si>
  <si>
    <t>ui, validation, boundary, neg</t>
  </si>
  <si>
    <t>ui, validation, clipboard, neg</t>
  </si>
  <si>
    <t>api, robustness, neg</t>
  </si>
  <si>
    <t>api, validation, neg, security</t>
  </si>
  <si>
    <t>Bug ID</t>
  </si>
  <si>
    <t>Title / Summary</t>
  </si>
  <si>
    <t>Observed Behavior</t>
  </si>
  <si>
    <t>Expected Behavior</t>
  </si>
  <si>
    <t>Severity</t>
  </si>
  <si>
    <t>Detected In Phase</t>
  </si>
  <si>
    <t>Repro Steps (Brief)</t>
  </si>
  <si>
    <t>Proposed Fix / Notes</t>
  </si>
  <si>
    <t>BUG-EDU-08</t>
  </si>
  <si>
    <t>XSS payload accepted in University field</t>
  </si>
  <si>
    <t>App should escape or reject script input; no alert, no raw tags displayed</t>
  </si>
  <si>
    <t>Open</t>
  </si>
  <si>
    <t>BUG-EDU-09</t>
  </si>
  <si>
    <t>SQL-like string persisted as valid text</t>
  </si>
  <si>
    <t>Should reject SQL keywords or treat as plain text with validation error</t>
  </si>
  <si>
    <t>Enter SQL-like text in Title field and save</t>
  </si>
  <si>
    <t>BUG-EDU-18</t>
  </si>
  <si>
    <t>BUG-EDU-27</t>
  </si>
  <si>
    <r>
      <t xml:space="preserve">Add Education with University = </t>
    </r>
    <r>
      <rPr>
        <sz val="8"/>
        <color theme="1"/>
        <rFont val="Arial Unicode MS"/>
      </rPr>
      <t>&lt;script&gt;alert(1)&lt;/script&gt;</t>
    </r>
  </si>
  <si>
    <t>Invalid Title accepted</t>
  </si>
  <si>
    <t>Invalid Country accepted</t>
  </si>
  <si>
    <t>Long input text accepted</t>
  </si>
  <si>
    <t>text wrapped</t>
  </si>
  <si>
    <t>1) Focus on dropdown (Year)
2) Paste “abcd1234@@@”
3) Click Add</t>
  </si>
  <si>
    <t>ignored paste</t>
  </si>
  <si>
    <t>Invalid Foreign Key  rejected</t>
  </si>
  <si>
    <t>1) Modify payload Year to invalid ID
2) Submit via API</t>
  </si>
  <si>
    <t>New record created with invalid foreign key for year and 200 OK found</t>
  </si>
  <si>
    <t>4xx validation; no new record created</t>
  </si>
  <si>
    <t>1) Remove Authorization header
2) Submit payload</t>
  </si>
  <si>
    <t xml:space="preserve">No new record created
But 409/422 error not seen instead 200 OK observed
</t>
  </si>
  <si>
    <t>No New record created and 200 OK found</t>
  </si>
  <si>
    <t>1) Enter 'Université de Paris' for University and save
2) Enter 'جامعة القاهرة' for Degree and save
3) Verify storage and rendering for both</t>
  </si>
  <si>
    <t>1) Enter 'Université de Paris' for Certificate
2) Enter 'جامعة القاهرة' for From.
3)Click Add button
3) Verify storage and rendering for both</t>
  </si>
  <si>
    <t>Education – Core CRUD</t>
  </si>
  <si>
    <t>Security &amp; Data Sanitization</t>
  </si>
  <si>
    <t>Dropdowns &amp; UI Controls</t>
  </si>
  <si>
    <t>Year Field Validation</t>
  </si>
  <si>
    <t>API Behavior &amp; Authorization</t>
  </si>
  <si>
    <t>Grid &amp; Pagination</t>
  </si>
  <si>
    <t>Internationalization (i18n)</t>
  </si>
  <si>
    <t>Text Input Validation</t>
  </si>
  <si>
    <t>Workflow &amp; Usability</t>
  </si>
  <si>
    <t>Robustness – Malformed JSON Handling</t>
  </si>
  <si>
    <t>Security – Unauthorized Access</t>
  </si>
  <si>
    <t>Server-Side Validation – Foreign Keys</t>
  </si>
  <si>
    <t xml:space="preserve"> 1) Click Add New
 2) Open Country dropdown
 3) Scroll all options
 4) Check duplicates
 5) Validate alphabetical A→Z
 6) Try selecting placeholder</t>
  </si>
  <si>
    <t>Certification – Core CRUD</t>
  </si>
  <si>
    <t>Robustness – Anti-Spam / Rate-Limit</t>
  </si>
  <si>
    <t>Toasts &amp; Notifications</t>
  </si>
  <si>
    <t>BUG-CERT-07</t>
  </si>
  <si>
    <t>BUG-CERT-09</t>
  </si>
  <si>
    <t>BUG-CERT-12</t>
  </si>
  <si>
    <t>BUG-CERT-17</t>
  </si>
  <si>
    <t>BUG-CERT-18</t>
  </si>
  <si>
    <t>BUG-CERT-20</t>
  </si>
  <si>
    <t>BUG-CERT-21</t>
  </si>
  <si>
    <t>Invalid foreign key accepted</t>
  </si>
  <si>
    <t>Malformed JSON not rejected</t>
  </si>
  <si>
    <t>No data change.</t>
  </si>
  <si>
    <t>P1 Ship-blockers</t>
  </si>
  <si>
    <t>P2 Quality &amp; A11Y</t>
  </si>
  <si>
    <t>Post-Conditions</t>
  </si>
  <si>
    <t>Row created (+1).</t>
  </si>
  <si>
    <t>Row deleted (-1).</t>
  </si>
  <si>
    <t>No persistence or stored as plain text.</t>
  </si>
  <si>
    <t>Grid count unchanged; no duplicate.</t>
  </si>
  <si>
    <t>Rows created/updated as entered.</t>
  </si>
  <si>
    <t>Row created; no truncation.</t>
  </si>
  <si>
    <t>Grid equals baseline; no residual rows.</t>
  </si>
  <si>
    <t>Existing record present in grid.</t>
  </si>
  <si>
    <t>Logged in; Education tab open.</t>
  </si>
  <si>
    <t>Add form open; all other fields valid.</t>
  </si>
  <si>
    <t>System year known; Education form open.</t>
  </si>
  <si>
    <t>Year dropdown available.</t>
  </si>
  <si>
    <t>Logged in; Education tab visible; all other required fields filled.</t>
  </si>
  <si>
    <t>Network tab ready; valid auth token.</t>
  </si>
  <si>
    <t>Valid auth token; baseline row absent.</t>
  </si>
  <si>
    <t>No Authorization header.</t>
  </si>
  <si>
    <t>Dataset seeded beyond one page.</t>
  </si>
  <si>
    <t>Valid login; Education tab open.</t>
  </si>
  <si>
    <t>User logged in; Education tab visible.</t>
  </si>
  <si>
    <t>Valid auth token; API client ready.</t>
  </si>
  <si>
    <t>Auth header removed.</t>
  </si>
  <si>
    <t>P3 Nice-to-Have</t>
  </si>
  <si>
    <t>EDU-34</t>
  </si>
  <si>
    <t>payload_valid</t>
  </si>
  <si>
    <t>payload_duplicate</t>
  </si>
  <si>
    <t>payload_edit</t>
  </si>
  <si>
    <t>Degree field updated successfully.</t>
  </si>
  <si>
    <t>payload_delete</t>
  </si>
  <si>
    <t>payload_cancel</t>
  </si>
  <si>
    <t>No row created or modified.</t>
  </si>
  <si>
    <t>payload_universityEmpty</t>
  </si>
  <si>
    <t>payload_xss</t>
  </si>
  <si>
    <t>payload_sqlLike</t>
  </si>
  <si>
    <t>payload_countryDropdown</t>
  </si>
  <si>
    <t>payload_countryBlank</t>
  </si>
  <si>
    <t>payload_titlePlaceholder</t>
  </si>
  <si>
    <t>payload_typeAhead</t>
  </si>
  <si>
    <t>payload_escKey</t>
  </si>
  <si>
    <t>payload_yearDropdown</t>
  </si>
  <si>
    <t>Max equals current year; min equals lower bound.</t>
  </si>
  <si>
    <t>payload_yearList</t>
  </si>
  <si>
    <t>All years present, no duplicates; descending numeric order.</t>
  </si>
  <si>
    <t>payload_yearBlank</t>
  </si>
  <si>
    <t>Form not saved; validation error displayed.</t>
  </si>
  <si>
    <t>payload_futureYearTampered</t>
  </si>
  <si>
    <t>Server rejects tampered year with 4xx validation.</t>
  </si>
  <si>
    <t>payload_duplicateReplay</t>
  </si>
  <si>
    <t>Server returns 409/422; grid count unchanged.</t>
  </si>
  <si>
    <t>payload_unauthorized</t>
  </si>
  <si>
    <t>401/403 returned; no row persisted.</t>
  </si>
  <si>
    <t>payload_pagination</t>
  </si>
  <si>
    <t>Counts correct; no duplicates or gaps.</t>
  </si>
  <si>
    <t>payload_i18n</t>
  </si>
  <si>
    <t>Stored and rendered correctly.</t>
  </si>
  <si>
    <t>payload_255chars</t>
  </si>
  <si>
    <t>Saves without silent truncation.</t>
  </si>
  <si>
    <t>payload_256chars</t>
  </si>
  <si>
    <t>payload_whitespaceOnly</t>
  </si>
  <si>
    <t>payload_emojiChars</t>
  </si>
  <si>
    <t>payload_numericOnly</t>
  </si>
  <si>
    <t>payload_crudSequence</t>
  </si>
  <si>
    <t>Add, Edit, Delete actions succeed; final grid empty.</t>
  </si>
  <si>
    <t>payload_500chars</t>
  </si>
  <si>
    <t>Validation error or truncation; layout intact.</t>
  </si>
  <si>
    <t>payload_clipboardInvalid</t>
  </si>
  <si>
    <t>Input ignored or validation error; no row created.</t>
  </si>
  <si>
    <t>payload_malformedJson</t>
  </si>
  <si>
    <t>payload_noAuthHeader</t>
  </si>
  <si>
    <t>payload_invalidCountry</t>
  </si>
  <si>
    <t>Server rejects invalid countryId; 4xx validation.</t>
  </si>
  <si>
    <t>payload_invalidTitle</t>
  </si>
  <si>
    <t>Server rejects invalid titleId; 4xx validation.</t>
  </si>
  <si>
    <t>Toast=success: "Education tab loaded successfully"</t>
  </si>
  <si>
    <t>Toast=success: "Education has been added"</t>
  </si>
  <si>
    <t>Toast=error: "This information already exists"</t>
  </si>
  <si>
    <t>Toast=success: "Education has been updated"</t>
  </si>
  <si>
    <t>Toast=success: "Education entry successfully removed"</t>
  </si>
  <si>
    <t>Toast=none</t>
  </si>
  <si>
    <t>Toast=error: "Please enter all the fields"</t>
  </si>
  <si>
    <t>Toast=error: "Field length exceeds allowed limit"</t>
  </si>
  <si>
    <t>Toast=success: "Add/Edit/Delete actions completed"</t>
  </si>
  <si>
    <t>Toast=error</t>
  </si>
  <si>
    <t xml:space="preserve">Toast=error: </t>
  </si>
  <si>
    <t>Toast=error:</t>
  </si>
  <si>
    <t>Toast=success</t>
  </si>
  <si>
    <t>Jincy Jose</t>
  </si>
  <si>
    <t>Row shows updated certificate text.
Blue success toast: "{Certificate Name} has been updated to your certifications".</t>
  </si>
  <si>
    <t>Toast=success: "{Certificate Name} has been updated to your certifications"</t>
  </si>
  <si>
    <t>Toast=success: "ISTQB has been deleted from your certification"</t>
  </si>
  <si>
    <t>Toast=error: "Invalid input detected in Certificate field"</t>
  </si>
  <si>
    <t>Toast=error: "Please enter Certification Name, Certification From and Certification Year"</t>
  </si>
  <si>
    <t>Toast=success: "Certification has been added"</t>
  </si>
  <si>
    <t>Toast=success: "{Certificate Name has been added to your certification"</t>
  </si>
  <si>
    <t xml:space="preserve">Toast=success: </t>
  </si>
  <si>
    <t>Metric</t>
  </si>
  <si>
    <t>Value</t>
  </si>
  <si>
    <t>Total Test Cases</t>
  </si>
  <si>
    <t>Executed</t>
  </si>
  <si>
    <t>Coverage %</t>
  </si>
  <si>
    <t>Passed</t>
  </si>
  <si>
    <t>Failed</t>
  </si>
  <si>
    <t>Pass %</t>
  </si>
  <si>
    <t>Defects Logged</t>
  </si>
  <si>
    <t>Defect Density %</t>
  </si>
  <si>
    <t>High Severity %</t>
  </si>
  <si>
    <t>Count</t>
  </si>
  <si>
    <t>% of Defects</t>
  </si>
  <si>
    <t>payload_multiClick</t>
  </si>
  <si>
    <t>payload_pastYearTampered</t>
  </si>
  <si>
    <t>payload_invalidForeignKey</t>
  </si>
  <si>
    <t>P1 Ship-blockers: Core CRUD, validation, API, security.
P2 Quality &amp; A11Y: UX, dropdowns, accessibility, year boundary, debouncing.
P3 Nice-to-Have: Robustness, long text, clipboard, and SQL-like injection retests (non-critical).</t>
  </si>
  <si>
    <t>No row created but no 400 bad request, instead 200 OK returned</t>
  </si>
  <si>
    <t xml:space="preserve">Server-side duplicate on replay </t>
  </si>
  <si>
    <t>CERT-27</t>
  </si>
  <si>
    <t>CERT-28</t>
  </si>
  <si>
    <t>CERT-29</t>
  </si>
  <si>
    <t>CERT-30</t>
  </si>
  <si>
    <t>CERT-31</t>
  </si>
  <si>
    <t>Edit mode does not open. Focus not available</t>
  </si>
  <si>
    <t>Delete mode does not open. Focus not available</t>
  </si>
  <si>
    <t>Tab and Enter/Delete icon</t>
  </si>
  <si>
    <t>Tab and Enter on Edit icon</t>
  </si>
  <si>
    <t>Education – Accessibility</t>
  </si>
  <si>
    <t>University text field: Tab focus and typing</t>
  </si>
  <si>
    <t>EDU-37</t>
  </si>
  <si>
    <t>EDU-38</t>
  </si>
  <si>
    <t>EDU-39</t>
  </si>
  <si>
    <t>EDU-40</t>
  </si>
  <si>
    <t>EDU-41</t>
  </si>
  <si>
    <t>EDU-42</t>
  </si>
  <si>
    <t>Tab focus and typing</t>
  </si>
  <si>
    <t>Country dropdown</t>
  </si>
  <si>
    <t>Title dropdown</t>
  </si>
  <si>
    <t>Degree text field</t>
  </si>
  <si>
    <t>Graduation Year dropdown</t>
  </si>
  <si>
    <t>Add/Update button</t>
  </si>
  <si>
    <t>Row Edit icon</t>
  </si>
  <si>
    <t>Row Delete icon</t>
  </si>
  <si>
    <t>Tab and Enter/Delete confirmation</t>
  </si>
  <si>
    <t>Tab and Enter</t>
  </si>
  <si>
    <t xml:space="preserve"> Arrow and Enter behavior</t>
  </si>
  <si>
    <t xml:space="preserve"> Tab focus and typing</t>
  </si>
  <si>
    <t>Not implemented</t>
  </si>
  <si>
    <t>CERT-23</t>
  </si>
  <si>
    <t>BUG-EDU-24</t>
  </si>
  <si>
    <t>BUG-EDU-26</t>
  </si>
  <si>
    <t>BUG-EDU-29</t>
  </si>
  <si>
    <t>BUG-EDU-31</t>
  </si>
  <si>
    <t>BUG-EDU-33</t>
  </si>
  <si>
    <t>Implement server-side HTML encoding and frontend sanitization</t>
  </si>
  <si>
    <t>SQL keyword “DROP TABLE Education;” accepted and displayed in grid</t>
  </si>
  <si>
    <t>Add backend validation; filter SQL patterns</t>
  </si>
  <si>
    <t>Server accepted tampered future year</t>
  </si>
  <si>
    <t>Tampered payload with future year persisted; record visible in grid</t>
  </si>
  <si>
    <t>Should reject future year payload and return 4xx</t>
  </si>
  <si>
    <t>Capture addEducation request → modify year to future → replay</t>
  </si>
  <si>
    <t>Add API validation; enforce year ≤ current year</t>
  </si>
  <si>
    <t>BUG-EDU-19</t>
  </si>
  <si>
    <t>API Behavior</t>
  </si>
  <si>
    <t>Duplicate replay returns 200 OK</t>
  </si>
  <si>
    <t>Replay of identical payload returns 200 instead of 409</t>
  </si>
  <si>
    <t>Should return 409/422 with no side effects</t>
  </si>
  <si>
    <t>Create entry → resend identical payload</t>
  </si>
  <si>
    <t>Update API contract to use proper duplicate handling code</t>
  </si>
  <si>
    <t>Over-max (256+) text accepted</t>
  </si>
  <si>
    <t>256+ chars accepted; toast success shown</t>
  </si>
  <si>
    <t>Should reject over-limit inputs and show validation error</t>
  </si>
  <si>
    <t>Paste &gt;255 chars into University and save</t>
  </si>
  <si>
    <t>Add frontend + backend maxLength constraint</t>
  </si>
  <si>
    <t>Emoji/control characters accepted</t>
  </si>
  <si>
    <t>Row added despite emoji/control characters</t>
  </si>
  <si>
    <t>Should reject control characters and emoji</t>
  </si>
  <si>
    <t>Phase 3</t>
  </si>
  <si>
    <t>Enter “MIT 👍 \x07” into University field</t>
  </si>
  <si>
    <t>Apply character whitelist and Unicode sanitization</t>
  </si>
  <si>
    <t>Numbers-only text accepted</t>
  </si>
  <si>
    <t>Numeric-only University accepted</t>
  </si>
  <si>
    <t>Should reject numeric-only fields</t>
  </si>
  <si>
    <t>Add New → Enter “123456” for University</t>
  </si>
  <si>
    <t>Add regex validation to enforce alphabetic text</t>
  </si>
  <si>
    <t>500-char string accepted</t>
  </si>
  <si>
    <t>500-char input accepted; blue success toast shown</t>
  </si>
  <si>
    <t>Should reject over-limit and preserve layout stability</t>
  </si>
  <si>
    <t>Paste 500-char string and click Add</t>
  </si>
  <si>
    <t>Enforce frontend limit and API check</t>
  </si>
  <si>
    <t>Robustness</t>
  </si>
  <si>
    <t>Malformed body returns 200 OK</t>
  </si>
  <si>
    <t>Should return HTTP 400 Bad Request</t>
  </si>
  <si>
    <t>Modify request to invalid JSON and replay</t>
  </si>
  <si>
    <t>Add strict JSON parsing and error handling</t>
  </si>
  <si>
    <t>Server-Side Validation</t>
  </si>
  <si>
    <t>Should reject invalid country with 4xx</t>
  </si>
  <si>
    <t>Tamper request Country to invalid ID and resend</t>
  </si>
  <si>
    <t>Add FK validation for countryId</t>
  </si>
  <si>
    <t>BUG-EDU-34</t>
  </si>
  <si>
    <t>Should reject invalid title with 4xx</t>
  </si>
  <si>
    <t>Tamper request Title to invalid ID and resend</t>
  </si>
  <si>
    <t>Add FK validation for titleId</t>
  </si>
  <si>
    <t>BUG-EDU-41</t>
  </si>
  <si>
    <t>Row Edit icon not keyboard accessible</t>
  </si>
  <si>
    <t>Pressing Enter on Edit icon does nothing; focus not available</t>
  </si>
  <si>
    <t>Edit mode should open and focus move to editable field</t>
  </si>
  <si>
    <t>Tab to Edit icon, press Enter</t>
  </si>
  <si>
    <t>Fix ARIA roles and keyboard event handlers</t>
  </si>
  <si>
    <t>BUG-EDU-42</t>
  </si>
  <si>
    <t>Delete icon not keyboard accessible</t>
  </si>
  <si>
    <t>Pressing Enter on Delete icon does nothing; focus not available</t>
  </si>
  <si>
    <t>Delete dialog should open and focus land on primary button</t>
  </si>
  <si>
    <t>Tab to Delete icon, press Enter</t>
  </si>
  <si>
    <t>Fix ARIA roles and confirm dialog focus management</t>
  </si>
  <si>
    <t>XSS payload accepted in Certificate</t>
  </si>
  <si>
    <t>Reject or HTML-encode input; no alert, no raw tags</t>
  </si>
  <si>
    <t>Add server-side encoding and client sanitization; block script tags</t>
  </si>
  <si>
    <t>Tampered future year accepted</t>
  </si>
  <si>
    <t>Replay with year=2045 returns 200 OK and persists row</t>
  </si>
  <si>
    <t>Return 4xx and do not persist</t>
  </si>
  <si>
    <t>Copy request as cURL → change year to future → run</t>
  </si>
  <si>
    <t>Enforce year ≤ current year in API; contract 4xx</t>
  </si>
  <si>
    <t>Tampered past year accepted</t>
  </si>
  <si>
    <t>Replay with year=1990 returns 200 OK and persists row</t>
  </si>
  <si>
    <t>Copy request as cURL → change year to 1990 → run</t>
  </si>
  <si>
    <t>Validate lower bound in API; consistent 4xx</t>
  </si>
  <si>
    <t>500-char input accepted</t>
  </si>
  <si>
    <t>Very long text accepted; UI wraps</t>
  </si>
  <si>
    <t>Reject or truncate per spec without layout break</t>
  </si>
  <si>
    <t>Add New → 500-char strings in Certificate/From → Add</t>
  </si>
  <si>
    <t>Add maxLength on UI and API; return validation error</t>
  </si>
  <si>
    <t>Security – SQL-like text</t>
  </si>
  <si>
    <t>SQL-like text not safely handled</t>
  </si>
  <si>
    <t>SQL-like payload not rejected consistently</t>
  </si>
  <si>
    <t>Reject or treat as plain text with clear validation</t>
  </si>
  <si>
    <t>Add backend validation/escaping; log and block dangerous patterns</t>
  </si>
  <si>
    <t>Server-Side Validation – Duplicates</t>
  </si>
  <si>
    <t>Duplicate replay returns 200</t>
  </si>
  <si>
    <t>Replaying identical payload returns 200 instead of 409/422</t>
  </si>
  <si>
    <t>Return 409/422; no side effects</t>
  </si>
  <si>
    <t>Create record → replay same API payload</t>
  </si>
  <si>
    <t>Implement idempotency/unique constraint; fix API status codes</t>
  </si>
  <si>
    <t>Server-Side Validation – FK</t>
  </si>
  <si>
    <t>Invalid Year ID persisted with 200 OK</t>
  </si>
  <si>
    <t>4xx validation; no record created</t>
  </si>
  <si>
    <t>Modify payload Year to invalid ID → submit</t>
  </si>
  <si>
    <t>Add FK checks on server; reject 0/−1/999999</t>
  </si>
  <si>
    <t>BUG-CERT-23</t>
  </si>
  <si>
    <t>Robustness – Malformed JSON</t>
  </si>
  <si>
    <t>Malformed JSON returns 200</t>
  </si>
  <si>
    <t>Broken JSON yields 200 OK (no new row)</t>
  </si>
  <si>
    <t>Return 400 Bad Request</t>
  </si>
  <si>
    <t>Submit malformed body via API</t>
  </si>
  <si>
    <t>Enforce strict JSON parsing and error handling</t>
  </si>
  <si>
    <t>BUG-CERT-29</t>
  </si>
  <si>
    <t>Edit icon not keyboard accessible</t>
  </si>
  <si>
    <t>Enter on Edit does nothing; focus not available</t>
  </si>
  <si>
    <t>Edit mode opens; focus in editable field</t>
  </si>
  <si>
    <t>Tab to Edit icon → Enter</t>
  </si>
  <si>
    <t>Add button role/keydown handler; manage focus with ARIA</t>
  </si>
  <si>
    <t>BUG-CERT-30</t>
  </si>
  <si>
    <t>Enter on Delete does nothing; focus not available</t>
  </si>
  <si>
    <t>Confirm dialog opens; focus on primary; returns to Delete after close</t>
  </si>
  <si>
    <t>Tab to Delete icon → Enter → confirm</t>
  </si>
  <si>
    <t>Add key handlers and dialog focus trap; restore focus on close</t>
  </si>
  <si>
    <r>
      <t>&lt;script&gt;alert(1)&lt;/script&gt;</t>
    </r>
    <r>
      <rPr>
        <sz val="8"/>
        <color theme="1"/>
        <rFont val="Calibri"/>
        <family val="2"/>
        <scheme val="minor"/>
      </rPr>
      <t xml:space="preserve"> text stored and rendered in grid; success toast shown</t>
    </r>
  </si>
  <si>
    <r>
      <t xml:space="preserve">Tampered </t>
    </r>
    <r>
      <rPr>
        <sz val="8"/>
        <color theme="1"/>
        <rFont val="Arial Unicode MS"/>
      </rPr>
      <t>countryId=999999</t>
    </r>
    <r>
      <rPr>
        <sz val="8"/>
        <color theme="1"/>
        <rFont val="Calibri"/>
        <family val="2"/>
        <scheme val="minor"/>
      </rPr>
      <t xml:space="preserve"> accepted and row added</t>
    </r>
  </si>
  <si>
    <r>
      <t xml:space="preserve">Tampered </t>
    </r>
    <r>
      <rPr>
        <sz val="8"/>
        <color theme="1"/>
        <rFont val="Arial Unicode MS"/>
      </rPr>
      <t>titleId=999999</t>
    </r>
    <r>
      <rPr>
        <sz val="8"/>
        <color theme="1"/>
        <rFont val="Calibri"/>
        <family val="2"/>
        <scheme val="minor"/>
      </rPr>
      <t xml:space="preserve"> accepted and row added</t>
    </r>
  </si>
  <si>
    <r>
      <t>&lt;script&gt;alert(1)&lt;/script&gt;</t>
    </r>
    <r>
      <rPr>
        <sz val="8"/>
        <color theme="1"/>
        <rFont val="Calibri"/>
        <family val="2"/>
        <scheme val="minor"/>
      </rPr>
      <t xml:space="preserve"> stored and shown; blue success toast</t>
    </r>
  </si>
  <si>
    <r>
      <t xml:space="preserve">Add New → Certificate = </t>
    </r>
    <r>
      <rPr>
        <sz val="8"/>
        <color theme="1"/>
        <rFont val="Arial Unicode MS"/>
      </rPr>
      <t>&lt;script&gt;alert(1)&lt;/script&gt;</t>
    </r>
    <r>
      <rPr>
        <sz val="8"/>
        <color theme="1"/>
        <rFont val="Calibri"/>
        <family val="2"/>
        <scheme val="minor"/>
      </rPr>
      <t xml:space="preserve"> → Add</t>
    </r>
  </si>
  <si>
    <r>
      <t xml:space="preserve">Add New → Certificate = </t>
    </r>
    <r>
      <rPr>
        <sz val="8"/>
        <color theme="1"/>
        <rFont val="Arial Unicode MS"/>
      </rPr>
      <t>DROP TABLE Certifications;</t>
    </r>
    <r>
      <rPr>
        <sz val="8"/>
        <color theme="1"/>
        <rFont val="Calibri"/>
        <family val="2"/>
        <scheme val="minor"/>
      </rPr>
      <t xml:space="preserve"> → Add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</si>
</sst>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b/>
      <sz val="11"/>
      <color theme="1"/>
      <name val="Calibri"/>
      <family val="2"/>
      <scheme val="minor"/>
    </font>
    <font>
      <sz val="8"/>
      <color theme="1"/>
      <name val="Calibri"/>
      <family val="2"/>
      <scheme val="minor"/>
    </font>
    <font>
      <sz val="8"/>
      <name val="Calibri"/>
      <family val="2"/>
    </font>
    <font>
      <b/>
      <sz val="8"/>
      <color theme="1"/>
      <name val="Calibri"/>
      <family val="2"/>
      <scheme val="minor"/>
    </font>
    <font>
      <b/>
      <sz val="9"/>
      <color theme="1"/>
      <name val="Calibri"/>
      <family val="2"/>
      <scheme val="minor"/>
    </font>
    <font>
      <sz val="9"/>
      <color theme="1"/>
      <name val="Calibri"/>
      <family val="2"/>
      <scheme val="minor"/>
    </font>
    <font>
      <sz val="8"/>
      <name val="Calibri"/>
      <family val="2"/>
      <scheme val="minor"/>
    </font>
    <font>
      <sz val="8"/>
      <color theme="1"/>
      <name val="Arial Unicode MS"/>
    </font>
    <font>
      <b/>
      <sz val="14"/>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00FF00"/>
        <bgColor rgb="FF00FF00"/>
      </patternFill>
    </fill>
    <fill>
      <patternFill patternType="solid">
        <fgColor rgb="FFFF0000"/>
        <bgColor rgb="FFFF0000"/>
      </patternFill>
    </fill>
    <fill>
      <patternFill patternType="solid">
        <fgColor rgb="FFADD8E6"/>
        <bgColor rgb="FFADD8E6"/>
      </patternFill>
    </fill>
    <fill>
      <patternFill patternType="solid">
        <fgColor rgb="FFFFA500"/>
        <bgColor rgb="FFFFA500"/>
      </patternFill>
    </fill>
    <fill>
      <patternFill patternType="solid">
        <fgColor rgb="FF800080"/>
        <bgColor rgb="FF800080"/>
      </patternFill>
    </fill>
    <fill>
      <patternFill patternType="solid">
        <fgColor rgb="FFA9A9A9"/>
        <bgColor rgb="FFA9A9A9"/>
      </patternFill>
    </fill>
    <fill>
      <patternFill patternType="solid">
        <fgColor rgb="FFD3D3D3"/>
        <bgColor rgb="FFD3D3D3"/>
      </patternFill>
    </fill>
    <fill>
      <patternFill patternType="solid">
        <fgColor rgb="FF008080"/>
        <bgColor rgb="FF008080"/>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2" fillId="2" borderId="1" xfId="0" applyFont="1" applyFill="1" applyBorder="1" applyAlignment="1">
      <alignment horizontal="left" vertical="top" wrapText="1"/>
    </xf>
    <xf numFmtId="49" fontId="3" fillId="2" borderId="1" xfId="0" applyNumberFormat="1" applyFont="1" applyFill="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horizontal="left" vertical="top" wrapText="1"/>
    </xf>
    <xf numFmtId="0" fontId="6" fillId="0" borderId="0" xfId="0" applyFont="1"/>
    <xf numFmtId="0" fontId="6" fillId="0" borderId="1" xfId="0" applyFont="1" applyBorder="1"/>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0" fillId="0" borderId="1" xfId="0" applyBorder="1"/>
    <xf numFmtId="0" fontId="0" fillId="0" borderId="1" xfId="0"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0" xfId="0" applyFont="1"/>
    <xf numFmtId="0" fontId="2" fillId="0" borderId="0" xfId="0" applyFont="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top" wrapText="1"/>
    </xf>
    <xf numFmtId="0" fontId="0" fillId="0" borderId="1" xfId="0" applyBorder="1" applyAlignment="1">
      <alignment vertical="center"/>
    </xf>
    <xf numFmtId="0" fontId="1" fillId="0" borderId="1" xfId="0" applyFont="1" applyBorder="1" applyAlignment="1">
      <alignment horizontal="center" vertical="center"/>
    </xf>
    <xf numFmtId="164" fontId="0" fillId="0" borderId="1" xfId="0" applyNumberFormat="1" applyBorder="1"/>
    <xf numFmtId="0" fontId="0" fillId="0" borderId="1" xfId="0" applyBorder="1" applyAlignment="1">
      <alignment horizontal="left" vertical="top" wrapText="1"/>
    </xf>
    <xf numFmtId="0" fontId="2" fillId="0" borderId="0" xfId="0" applyFont="1" applyBorder="1" applyAlignment="1">
      <alignment horizontal="left" vertical="top" wrapText="1"/>
    </xf>
    <xf numFmtId="0" fontId="2" fillId="2" borderId="0" xfId="0" applyFont="1" applyFill="1" applyBorder="1" applyAlignment="1">
      <alignment horizontal="left" vertical="top" wrapText="1"/>
    </xf>
    <xf numFmtId="0" fontId="2" fillId="0" borderId="0" xfId="0" applyFont="1" applyAlignment="1">
      <alignment wrapText="1"/>
    </xf>
    <xf numFmtId="0" fontId="2" fillId="2" borderId="2" xfId="0" applyFont="1" applyFill="1" applyBorder="1" applyAlignment="1">
      <alignment horizontal="left" vertical="top" wrapText="1"/>
    </xf>
    <xf numFmtId="0" fontId="2" fillId="0" borderId="4" xfId="0" applyFont="1" applyBorder="1" applyAlignment="1">
      <alignment horizontal="left" vertical="top" wrapText="1"/>
    </xf>
    <xf numFmtId="0" fontId="4" fillId="0" borderId="3" xfId="0" applyFont="1" applyBorder="1" applyAlignment="1">
      <alignment horizontal="left" vertical="top" wrapText="1"/>
    </xf>
    <xf numFmtId="49" fontId="3" fillId="2" borderId="2" xfId="0" applyNumberFormat="1" applyFont="1" applyFill="1" applyBorder="1" applyAlignment="1">
      <alignment horizontal="left" vertical="top" wrapText="1"/>
    </xf>
    <xf numFmtId="14" fontId="2" fillId="0" borderId="2" xfId="0" applyNumberFormat="1" applyFont="1" applyBorder="1" applyAlignment="1">
      <alignment horizontal="left" vertical="top" wrapText="1"/>
    </xf>
    <xf numFmtId="49" fontId="3" fillId="2" borderId="0" xfId="0" applyNumberFormat="1" applyFont="1" applyFill="1" applyBorder="1" applyAlignment="1">
      <alignment horizontal="left" vertical="top" wrapText="1"/>
    </xf>
    <xf numFmtId="14" fontId="2" fillId="0" borderId="0" xfId="0" applyNumberFormat="1" applyFont="1" applyBorder="1" applyAlignment="1">
      <alignment horizontal="left" vertical="top" wrapText="1"/>
    </xf>
    <xf numFmtId="0" fontId="2" fillId="8" borderId="0" xfId="0" applyFont="1" applyFill="1" applyBorder="1" applyAlignment="1">
      <alignment horizontal="left" vertical="top" wrapText="1"/>
    </xf>
    <xf numFmtId="0" fontId="2" fillId="10" borderId="0" xfId="0" applyFont="1" applyFill="1" applyBorder="1" applyAlignment="1">
      <alignment horizontal="left" vertical="top" wrapText="1"/>
    </xf>
    <xf numFmtId="0" fontId="6" fillId="0" borderId="4" xfId="0" applyFont="1" applyBorder="1"/>
    <xf numFmtId="0" fontId="0" fillId="0" borderId="4" xfId="0" applyBorder="1"/>
    <xf numFmtId="0" fontId="0" fillId="0" borderId="2" xfId="0" applyBorder="1"/>
    <xf numFmtId="0" fontId="5" fillId="0" borderId="0" xfId="0" applyFont="1" applyBorder="1" applyAlignment="1">
      <alignment horizontal="left" vertical="top" wrapText="1"/>
    </xf>
    <xf numFmtId="0" fontId="5" fillId="0" borderId="0" xfId="0" applyFont="1" applyBorder="1" applyAlignment="1">
      <alignment horizontal="left" vertical="top"/>
    </xf>
    <xf numFmtId="0" fontId="2" fillId="3" borderId="0" xfId="0" applyFont="1" applyFill="1" applyBorder="1" applyAlignment="1">
      <alignment horizontal="left" vertical="top" wrapText="1"/>
    </xf>
    <xf numFmtId="0" fontId="2" fillId="4"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2" fillId="6" borderId="0" xfId="0" applyFont="1" applyFill="1" applyBorder="1" applyAlignment="1">
      <alignment horizontal="left" vertical="top" wrapText="1"/>
    </xf>
    <xf numFmtId="0" fontId="2" fillId="7" borderId="0" xfId="0" applyFont="1" applyFill="1" applyBorder="1" applyAlignment="1">
      <alignment horizontal="left" vertical="top" wrapText="1"/>
    </xf>
    <xf numFmtId="0" fontId="2" fillId="9" borderId="0" xfId="0" applyFont="1" applyFill="1" applyBorder="1" applyAlignment="1">
      <alignment horizontal="left" vertical="top" wrapText="1"/>
    </xf>
    <xf numFmtId="0" fontId="2" fillId="0" borderId="0" xfId="0" applyFont="1" applyAlignment="1">
      <alignment horizontal="left" wrapText="1"/>
    </xf>
    <xf numFmtId="0" fontId="5" fillId="0" borderId="2" xfId="0" applyFont="1" applyBorder="1" applyAlignment="1">
      <alignment horizontal="left" vertical="top" wrapText="1"/>
    </xf>
    <xf numFmtId="0" fontId="9" fillId="11" borderId="1" xfId="0" applyFont="1" applyFill="1" applyBorder="1" applyAlignment="1">
      <alignment horizontal="center" vertical="center"/>
    </xf>
    <xf numFmtId="0" fontId="1" fillId="11" borderId="1" xfId="0" applyFont="1" applyFill="1" applyBorder="1"/>
  </cellXfs>
  <cellStyles count="1">
    <cellStyle name="Normal" xfId="0" builtinId="0"/>
  </cellStyles>
  <dxfs count="140">
    <dxf>
      <font>
        <b/>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bottom" textRotation="0" wrapText="1" indent="0" justifyLastLine="0" shrinkToFit="0" readingOrder="0"/>
    </dxf>
    <dxf>
      <border outline="0">
        <bottom style="thin">
          <color auto="1"/>
        </bottom>
      </border>
    </dxf>
    <dxf>
      <border outline="0">
        <top style="thin">
          <color auto="1"/>
        </top>
      </border>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fill>
        <patternFill patternType="solid">
          <fgColor rgb="FFA9A9A9"/>
          <bgColor rgb="FFA9A9A9"/>
        </patternFill>
      </fill>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strike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strike val="0"/>
        <outline val="0"/>
        <shadow val="0"/>
        <u val="none"/>
        <vertAlign val="baseline"/>
        <sz val="8"/>
        <name val="Calibri"/>
        <family val="2"/>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30" formatCode="@"/>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30" formatCode="@"/>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30" formatCode="@"/>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family val="2"/>
        <scheme val="none"/>
      </font>
      <numFmt numFmtId="30" formatCode="@"/>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ill>
        <patternFill>
          <bgColor rgb="FFEEEEEE"/>
        </patternFill>
      </fill>
    </dxf>
    <dxf>
      <fill>
        <patternFill>
          <bgColor rgb="FFFFE599"/>
        </patternFill>
      </fill>
    </dxf>
    <dxf>
      <fill>
        <patternFill>
          <bgColor rgb="FFF4CCCC"/>
        </patternFill>
      </fill>
    </dxf>
    <dxf>
      <fill>
        <patternFill>
          <bgColor rgb="FFD0E0E3"/>
        </patternFill>
      </fill>
    </dxf>
    <dxf>
      <fill>
        <patternFill>
          <bgColor rgb="FFD9D2E9"/>
        </patternFill>
      </fill>
    </dxf>
    <dxf>
      <fill>
        <patternFill>
          <bgColor rgb="FFFCE5CD"/>
        </patternFill>
      </fill>
    </dxf>
    <dxf>
      <fill>
        <patternFill>
          <bgColor rgb="FFCFE2F3"/>
        </patternFill>
      </fill>
    </dxf>
    <dxf>
      <fill>
        <patternFill>
          <bgColor rgb="FFD9EAD3"/>
        </patternFill>
      </fill>
    </dxf>
    <dxf>
      <fill>
        <patternFill>
          <bgColor rgb="FFFFF2CC"/>
        </patternFill>
      </fill>
    </dxf>
    <dxf>
      <fill>
        <patternFill>
          <bgColor rgb="FFF4CCCC"/>
        </patternFill>
      </fill>
    </dxf>
    <dxf>
      <fill>
        <patternFill>
          <bgColor rgb="FFC9DAF8"/>
        </patternFill>
      </fill>
    </dxf>
    <dxf>
      <fill>
        <patternFill>
          <bgColor rgb="FFF9CB9C"/>
        </patternFill>
      </fill>
    </dxf>
    <dxf>
      <fill>
        <patternFill>
          <bgColor rgb="FFE6E6E6"/>
        </patternFill>
      </fill>
    </dxf>
    <dxf>
      <fill>
        <patternFill>
          <bgColor rgb="FFF4CCCC"/>
        </patternFill>
      </fill>
    </dxf>
    <dxf>
      <fill>
        <patternFill>
          <bgColor rgb="FFD9EAD3"/>
        </patternFill>
      </fill>
    </dxf>
    <dxf>
      <fill>
        <patternFill patternType="solid">
          <fgColor rgb="FFD3D3D3"/>
          <bgColor rgb="FFD3D3D3"/>
        </patternFill>
      </fill>
    </dxf>
    <dxf>
      <fill>
        <patternFill patternType="solid">
          <fgColor rgb="FFFFD700"/>
          <bgColor rgb="FFFFD700"/>
        </patternFill>
      </fill>
    </dxf>
    <dxf>
      <fill>
        <patternFill patternType="solid">
          <fgColor rgb="FFFFC0CB"/>
          <bgColor rgb="FFFFC0CB"/>
        </patternFill>
      </fill>
    </dxf>
    <dxf>
      <fill>
        <patternFill patternType="solid">
          <fgColor rgb="FF008080"/>
          <bgColor rgb="FF008080"/>
        </patternFill>
      </fill>
    </dxf>
    <dxf>
      <fill>
        <patternFill patternType="solid">
          <fgColor rgb="FF800080"/>
          <bgColor rgb="FF800080"/>
        </patternFill>
      </fill>
    </dxf>
    <dxf>
      <fill>
        <patternFill patternType="solid">
          <fgColor rgb="FFFFA500"/>
          <bgColor rgb="FFFFA500"/>
        </patternFill>
      </fill>
    </dxf>
    <dxf>
      <fill>
        <patternFill patternType="solid">
          <fgColor rgb="FFADD8E6"/>
          <bgColor rgb="FFADD8E6"/>
        </patternFill>
      </fill>
    </dxf>
    <dxf>
      <fill>
        <patternFill>
          <bgColor rgb="FFEEEEEE"/>
        </patternFill>
      </fill>
    </dxf>
    <dxf>
      <fill>
        <patternFill>
          <bgColor rgb="FFFFE599"/>
        </patternFill>
      </fill>
    </dxf>
    <dxf>
      <fill>
        <patternFill>
          <bgColor rgb="FFF4CCCC"/>
        </patternFill>
      </fill>
    </dxf>
    <dxf>
      <fill>
        <patternFill>
          <bgColor rgb="FFD0E0E3"/>
        </patternFill>
      </fill>
    </dxf>
    <dxf>
      <fill>
        <patternFill>
          <bgColor rgb="FFD9D2E9"/>
        </patternFill>
      </fill>
    </dxf>
    <dxf>
      <fill>
        <patternFill>
          <bgColor rgb="FFFCE5CD"/>
        </patternFill>
      </fill>
    </dxf>
    <dxf>
      <fill>
        <patternFill>
          <bgColor rgb="FFCFE2F3"/>
        </patternFill>
      </fill>
    </dxf>
    <dxf>
      <fill>
        <patternFill patternType="solid">
          <fgColor rgb="FFFFFF00"/>
          <bgColor rgb="FFFFFF00"/>
        </patternFill>
      </fill>
    </dxf>
    <dxf>
      <fill>
        <patternFill patternType="solid">
          <fgColor rgb="FFFF0000"/>
          <bgColor rgb="FFFF0000"/>
        </patternFill>
      </fill>
    </dxf>
    <dxf>
      <fill>
        <patternFill>
          <bgColor rgb="FFD9EAD3"/>
        </patternFill>
      </fill>
    </dxf>
    <dxf>
      <fill>
        <patternFill>
          <bgColor rgb="FFFFF2CC"/>
        </patternFill>
      </fill>
    </dxf>
    <dxf>
      <fill>
        <patternFill>
          <bgColor rgb="FFF4CCCC"/>
        </patternFill>
      </fill>
    </dxf>
    <dxf>
      <fill>
        <patternFill patternType="solid">
          <fgColor rgb="FF00FF00"/>
          <bgColor rgb="FF00FF00"/>
        </patternFill>
      </fill>
    </dxf>
    <dxf>
      <fill>
        <patternFill patternType="solid">
          <fgColor rgb="FF0000FF"/>
          <bgColor rgb="FF0000FF"/>
        </patternFill>
      </fill>
    </dxf>
    <dxf>
      <fill>
        <patternFill patternType="solid">
          <fgColor rgb="FFFFA500"/>
          <bgColor rgb="FFFFA500"/>
        </patternFill>
      </fill>
    </dxf>
    <dxf>
      <fill>
        <patternFill patternType="solid">
          <fgColor rgb="FFA9A9A9"/>
          <bgColor rgb="FFA9A9A9"/>
        </patternFill>
      </fill>
    </dxf>
    <dxf>
      <fill>
        <patternFill patternType="solid">
          <fgColor rgb="FFFF0000"/>
          <bgColor rgb="FFFF0000"/>
        </patternFill>
      </fill>
    </dxf>
    <dxf>
      <fill>
        <patternFill>
          <bgColor rgb="FFC9DAF8"/>
        </patternFill>
      </fill>
    </dxf>
    <dxf>
      <fill>
        <patternFill>
          <bgColor rgb="FFF9CB9C"/>
        </patternFill>
      </fill>
    </dxf>
    <dxf>
      <fill>
        <patternFill>
          <bgColor rgb="FFE6E6E6"/>
        </patternFill>
      </fill>
    </dxf>
    <dxf>
      <fill>
        <patternFill>
          <bgColor rgb="FFF4CCCC"/>
        </patternFill>
      </fill>
    </dxf>
    <dxf>
      <fill>
        <patternFill>
          <bgColor rgb="FFD9EAD3"/>
        </patternFill>
      </fill>
    </dxf>
    <dxf>
      <fill>
        <patternFill patternType="solid">
          <fgColor rgb="FFD3D3D3"/>
          <bgColor rgb="FFD3D3D3"/>
        </patternFill>
      </fill>
    </dxf>
    <dxf>
      <fill>
        <patternFill patternType="solid">
          <fgColor rgb="FFFFD700"/>
          <bgColor rgb="FFFFD700"/>
        </patternFill>
      </fill>
    </dxf>
    <dxf>
      <fill>
        <patternFill patternType="solid">
          <fgColor rgb="FFFFC0CB"/>
          <bgColor rgb="FFFFC0CB"/>
        </patternFill>
      </fill>
    </dxf>
    <dxf>
      <fill>
        <patternFill patternType="solid">
          <fgColor rgb="FF008080"/>
          <bgColor rgb="FF008080"/>
        </patternFill>
      </fill>
    </dxf>
    <dxf>
      <fill>
        <patternFill patternType="solid">
          <fgColor rgb="FF800080"/>
          <bgColor rgb="FF800080"/>
        </patternFill>
      </fill>
    </dxf>
    <dxf>
      <fill>
        <patternFill patternType="solid">
          <fgColor rgb="FFFFA500"/>
          <bgColor rgb="FFFFA500"/>
        </patternFill>
      </fill>
    </dxf>
    <dxf>
      <fill>
        <patternFill patternType="solid">
          <fgColor rgb="FFADD8E6"/>
          <bgColor rgb="FFADD8E6"/>
        </patternFill>
      </fill>
    </dxf>
    <dxf>
      <fill>
        <patternFill>
          <bgColor rgb="FFEEEEEE"/>
        </patternFill>
      </fill>
    </dxf>
    <dxf>
      <fill>
        <patternFill>
          <bgColor rgb="FFFFE599"/>
        </patternFill>
      </fill>
    </dxf>
    <dxf>
      <fill>
        <patternFill>
          <bgColor rgb="FFF4CCCC"/>
        </patternFill>
      </fill>
    </dxf>
    <dxf>
      <fill>
        <patternFill>
          <bgColor rgb="FFD0E0E3"/>
        </patternFill>
      </fill>
    </dxf>
    <dxf>
      <fill>
        <patternFill>
          <bgColor rgb="FFD9D2E9"/>
        </patternFill>
      </fill>
    </dxf>
    <dxf>
      <fill>
        <patternFill>
          <bgColor rgb="FFFCE5CD"/>
        </patternFill>
      </fill>
    </dxf>
    <dxf>
      <fill>
        <patternFill>
          <bgColor rgb="FFCFE2F3"/>
        </patternFill>
      </fill>
    </dxf>
    <dxf>
      <fill>
        <patternFill patternType="solid">
          <fgColor rgb="FFFFFF00"/>
          <bgColor rgb="FFFFFF00"/>
        </patternFill>
      </fill>
    </dxf>
    <dxf>
      <fill>
        <patternFill patternType="solid">
          <fgColor rgb="FFFF0000"/>
          <bgColor rgb="FFFF0000"/>
        </patternFill>
      </fill>
    </dxf>
    <dxf>
      <fill>
        <patternFill>
          <bgColor rgb="FFD9EAD3"/>
        </patternFill>
      </fill>
    </dxf>
    <dxf>
      <fill>
        <patternFill>
          <bgColor rgb="FFFFF2CC"/>
        </patternFill>
      </fill>
    </dxf>
    <dxf>
      <fill>
        <patternFill>
          <bgColor rgb="FFF4CCCC"/>
        </patternFill>
      </fill>
    </dxf>
    <dxf>
      <fill>
        <patternFill patternType="solid">
          <fgColor rgb="FF00FF00"/>
          <bgColor rgb="FF00FF00"/>
        </patternFill>
      </fill>
    </dxf>
    <dxf>
      <fill>
        <patternFill patternType="solid">
          <fgColor rgb="FF0000FF"/>
          <bgColor rgb="FF0000FF"/>
        </patternFill>
      </fill>
    </dxf>
    <dxf>
      <fill>
        <patternFill patternType="solid">
          <fgColor rgb="FFFFA500"/>
          <bgColor rgb="FFFFA500"/>
        </patternFill>
      </fill>
    </dxf>
    <dxf>
      <fill>
        <patternFill patternType="solid">
          <fgColor rgb="FFA9A9A9"/>
          <bgColor rgb="FFA9A9A9"/>
        </patternFill>
      </fill>
    </dxf>
    <dxf>
      <fill>
        <patternFill patternType="solid">
          <fgColor rgb="FFFF0000"/>
          <bgColor rgb="FFFF0000"/>
        </patternFill>
      </fill>
    </dxf>
    <dxf>
      <fill>
        <patternFill>
          <bgColor rgb="FFC9DAF8"/>
        </patternFill>
      </fill>
    </dxf>
    <dxf>
      <fill>
        <patternFill>
          <bgColor rgb="FFF9CB9C"/>
        </patternFill>
      </fill>
    </dxf>
    <dxf>
      <fill>
        <patternFill>
          <bgColor rgb="FFE6E6E6"/>
        </patternFill>
      </fill>
    </dxf>
    <dxf>
      <fill>
        <patternFill>
          <bgColor rgb="FFF4CCCC"/>
        </patternFill>
      </fill>
    </dxf>
    <dxf>
      <fill>
        <patternFill>
          <bgColor rgb="FFD9EAD3"/>
        </patternFill>
      </fill>
    </dxf>
    <dxf>
      <font>
        <b val="0"/>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8"/>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color theme="1"/>
        <name val="Calibri"/>
        <family val="2"/>
        <scheme val="minor"/>
      </font>
      <alignment horizontal="left" vertical="top" textRotation="0" wrapText="1" indent="0" justifyLastLine="0" shrinkToFit="0" readingOrder="0"/>
    </dxf>
    <dxf>
      <font>
        <b/>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a:t>Execution Results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U"/>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700-4B59-A77D-B7ABFFDFC5B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700-4B59-A77D-B7ABFFDFC5B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700-4B59-A77D-B7ABFFDFC5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Heatmap!$A$7:$A$9</c:f>
              <c:strCache>
                <c:ptCount val="3"/>
                <c:pt idx="0">
                  <c:v>Passed</c:v>
                </c:pt>
                <c:pt idx="1">
                  <c:v>Failed</c:v>
                </c:pt>
                <c:pt idx="2">
                  <c:v>Not Run</c:v>
                </c:pt>
              </c:strCache>
            </c:strRef>
          </c:cat>
          <c:val>
            <c:numRef>
              <c:f>Heatmap!$B$7:$B$9</c:f>
              <c:numCache>
                <c:formatCode>General</c:formatCode>
                <c:ptCount val="3"/>
                <c:pt idx="0">
                  <c:v>46</c:v>
                </c:pt>
                <c:pt idx="1">
                  <c:v>23</c:v>
                </c:pt>
                <c:pt idx="2">
                  <c:v>3</c:v>
                </c:pt>
              </c:numCache>
            </c:numRef>
          </c:val>
          <c:extLst>
            <c:ext xmlns:c16="http://schemas.microsoft.com/office/drawing/2014/chart" uri="{C3380CC4-5D6E-409C-BE32-E72D297353CC}">
              <c16:uniqueId val="{00000000-C233-4A20-985D-5700E206F0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AU"/>
              <a:t>Severity Distribution</a:t>
            </a:r>
          </a:p>
        </c:rich>
      </c:tx>
      <c:layout>
        <c:manualLayout>
          <c:xMode val="edge"/>
          <c:yMode val="edge"/>
          <c:x val="0.31403345724907061"/>
          <c:y val="3.18979266347687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AU"/>
        </a:p>
      </c:txPr>
    </c:title>
    <c:autoTitleDeleted val="0"/>
    <c:plotArea>
      <c:layout/>
      <c:barChart>
        <c:barDir val="col"/>
        <c:grouping val="clustered"/>
        <c:varyColors val="0"/>
        <c:ser>
          <c:idx val="0"/>
          <c:order val="0"/>
          <c:tx>
            <c:strRef>
              <c:f>Heatmap!$I$3</c:f>
              <c:strCache>
                <c:ptCount val="1"/>
                <c:pt idx="0">
                  <c:v>Count</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F063-45E8-AD82-D1DD75F3EFB6}"/>
              </c:ext>
            </c:extLst>
          </c:dPt>
          <c:dPt>
            <c:idx val="1"/>
            <c:invertIfNegative val="0"/>
            <c:bubble3D val="0"/>
            <c:extLst>
              <c:ext xmlns:c16="http://schemas.microsoft.com/office/drawing/2014/chart" uri="{C3380CC4-5D6E-409C-BE32-E72D297353CC}">
                <c16:uniqueId val="{00000003-F063-45E8-AD82-D1DD75F3EFB6}"/>
              </c:ext>
            </c:extLst>
          </c:dPt>
          <c:dPt>
            <c:idx val="2"/>
            <c:invertIfNegative val="0"/>
            <c:bubble3D val="0"/>
            <c:extLst>
              <c:ext xmlns:c16="http://schemas.microsoft.com/office/drawing/2014/chart" uri="{C3380CC4-5D6E-409C-BE32-E72D297353CC}">
                <c16:uniqueId val="{00000005-F063-45E8-AD82-D1DD75F3EF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Heatmap!$H$4:$H$6</c:f>
              <c:strCache>
                <c:ptCount val="3"/>
                <c:pt idx="0">
                  <c:v>High</c:v>
                </c:pt>
                <c:pt idx="1">
                  <c:v>Medium</c:v>
                </c:pt>
                <c:pt idx="2">
                  <c:v>Low</c:v>
                </c:pt>
              </c:strCache>
            </c:strRef>
          </c:cat>
          <c:val>
            <c:numRef>
              <c:f>Heatmap!$I$4:$I$6</c:f>
              <c:numCache>
                <c:formatCode>General</c:formatCode>
                <c:ptCount val="3"/>
                <c:pt idx="0">
                  <c:v>14</c:v>
                </c:pt>
                <c:pt idx="1">
                  <c:v>9</c:v>
                </c:pt>
                <c:pt idx="2">
                  <c:v>0</c:v>
                </c:pt>
              </c:numCache>
            </c:numRef>
          </c:val>
          <c:extLst>
            <c:ext xmlns:c16="http://schemas.microsoft.com/office/drawing/2014/chart" uri="{C3380CC4-5D6E-409C-BE32-E72D297353CC}">
              <c16:uniqueId val="{00000000-7664-4B31-BF57-F7B34B6A9138}"/>
            </c:ext>
          </c:extLst>
        </c:ser>
        <c:dLbls>
          <c:showLegendKey val="0"/>
          <c:showVal val="0"/>
          <c:showCatName val="0"/>
          <c:showSerName val="0"/>
          <c:showPercent val="0"/>
          <c:showBubbleSize val="0"/>
        </c:dLbls>
        <c:gapWidth val="100"/>
        <c:axId val="293033568"/>
        <c:axId val="293035008"/>
      </c:barChart>
      <c:lineChart>
        <c:grouping val="standard"/>
        <c:varyColors val="0"/>
        <c:ser>
          <c:idx val="1"/>
          <c:order val="1"/>
          <c:tx>
            <c:strRef>
              <c:f>Heatmap!$J$3</c:f>
              <c:strCache>
                <c:ptCount val="1"/>
                <c:pt idx="0">
                  <c:v>% of Defects</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dPt>
            <c:idx val="0"/>
            <c:marker>
              <c:symbol val="none"/>
            </c:marker>
            <c:bubble3D val="0"/>
            <c:extLst>
              <c:ext xmlns:c16="http://schemas.microsoft.com/office/drawing/2014/chart" uri="{C3380CC4-5D6E-409C-BE32-E72D297353CC}">
                <c16:uniqueId val="{00000007-F063-45E8-AD82-D1DD75F3EFB6}"/>
              </c:ext>
            </c:extLst>
          </c:dPt>
          <c:dPt>
            <c:idx val="1"/>
            <c:marker>
              <c:symbol val="none"/>
            </c:marker>
            <c:bubble3D val="0"/>
            <c:extLst>
              <c:ext xmlns:c16="http://schemas.microsoft.com/office/drawing/2014/chart" uri="{C3380CC4-5D6E-409C-BE32-E72D297353CC}">
                <c16:uniqueId val="{00000009-F063-45E8-AD82-D1DD75F3EFB6}"/>
              </c:ext>
            </c:extLst>
          </c:dPt>
          <c:dPt>
            <c:idx val="2"/>
            <c:marker>
              <c:symbol val="none"/>
            </c:marker>
            <c:bubble3D val="0"/>
            <c:extLst>
              <c:ext xmlns:c16="http://schemas.microsoft.com/office/drawing/2014/chart" uri="{C3380CC4-5D6E-409C-BE32-E72D297353CC}">
                <c16:uniqueId val="{0000000B-F063-45E8-AD82-D1DD75F3EF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Heatmap!$H$4:$H$6</c:f>
              <c:strCache>
                <c:ptCount val="3"/>
                <c:pt idx="0">
                  <c:v>High</c:v>
                </c:pt>
                <c:pt idx="1">
                  <c:v>Medium</c:v>
                </c:pt>
                <c:pt idx="2">
                  <c:v>Low</c:v>
                </c:pt>
              </c:strCache>
            </c:strRef>
          </c:cat>
          <c:val>
            <c:numRef>
              <c:f>Heatmap!$J$4:$J$6</c:f>
              <c:numCache>
                <c:formatCode>0.0%</c:formatCode>
                <c:ptCount val="3"/>
                <c:pt idx="0">
                  <c:v>0.60869565217391308</c:v>
                </c:pt>
                <c:pt idx="1">
                  <c:v>0.39130434782608697</c:v>
                </c:pt>
                <c:pt idx="2">
                  <c:v>0</c:v>
                </c:pt>
              </c:numCache>
            </c:numRef>
          </c:val>
          <c:smooth val="0"/>
          <c:extLst>
            <c:ext xmlns:c16="http://schemas.microsoft.com/office/drawing/2014/chart" uri="{C3380CC4-5D6E-409C-BE32-E72D297353CC}">
              <c16:uniqueId val="{00000001-7664-4B31-BF57-F7B34B6A9138}"/>
            </c:ext>
          </c:extLst>
        </c:ser>
        <c:dLbls>
          <c:showLegendKey val="0"/>
          <c:showVal val="0"/>
          <c:showCatName val="0"/>
          <c:showSerName val="0"/>
          <c:showPercent val="0"/>
          <c:showBubbleSize val="0"/>
        </c:dLbls>
        <c:marker val="1"/>
        <c:smooth val="0"/>
        <c:axId val="293079760"/>
        <c:axId val="293077840"/>
      </c:lineChart>
      <c:catAx>
        <c:axId val="293033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035008"/>
        <c:auto val="1"/>
        <c:lblAlgn val="ctr"/>
        <c:lblOffset val="100"/>
        <c:noMultiLvlLbl val="0"/>
      </c:catAx>
      <c:valAx>
        <c:axId val="293035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033568"/>
        <c:crossBetween val="between"/>
      </c:valAx>
      <c:valAx>
        <c:axId val="293077840"/>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079760"/>
        <c:crosses val="max"/>
        <c:crossBetween val="between"/>
      </c:valAx>
      <c:catAx>
        <c:axId val="293079760"/>
        <c:scaling>
          <c:orientation val="minMax"/>
        </c:scaling>
        <c:delete val="1"/>
        <c:axPos val="b"/>
        <c:numFmt formatCode="General" sourceLinked="1"/>
        <c:majorTickMark val="none"/>
        <c:minorTickMark val="none"/>
        <c:tickLblPos val="nextTo"/>
        <c:crossAx val="29307784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594360</xdr:colOff>
      <xdr:row>12</xdr:row>
      <xdr:rowOff>30480</xdr:rowOff>
    </xdr:from>
    <xdr:to>
      <xdr:col>8</xdr:col>
      <xdr:colOff>365760</xdr:colOff>
      <xdr:row>25</xdr:row>
      <xdr:rowOff>34290</xdr:rowOff>
    </xdr:to>
    <xdr:graphicFrame macro="">
      <xdr:nvGraphicFramePr>
        <xdr:cNvPr id="5" name="Chart 4">
          <a:extLst>
            <a:ext uri="{FF2B5EF4-FFF2-40B4-BE49-F238E27FC236}">
              <a16:creationId xmlns:a16="http://schemas.microsoft.com/office/drawing/2014/main" id="{219994A0-1FC9-FAE8-5C12-15EE6A9D8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12</xdr:row>
      <xdr:rowOff>38100</xdr:rowOff>
    </xdr:from>
    <xdr:to>
      <xdr:col>15</xdr:col>
      <xdr:colOff>121920</xdr:colOff>
      <xdr:row>25</xdr:row>
      <xdr:rowOff>49530</xdr:rowOff>
    </xdr:to>
    <xdr:graphicFrame macro="">
      <xdr:nvGraphicFramePr>
        <xdr:cNvPr id="6" name="Chart 5">
          <a:extLst>
            <a:ext uri="{FF2B5EF4-FFF2-40B4-BE49-F238E27FC236}">
              <a16:creationId xmlns:a16="http://schemas.microsoft.com/office/drawing/2014/main" id="{C605AEE2-6801-0429-B1CF-2438B370C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9E6294-110C-4685-A750-7621A27C774C}" name="Table1" displayName="Table1" ref="A1:U49" totalsRowShown="0" headerRowDxfId="134" dataDxfId="133" headerRowBorderDxfId="139" tableBorderDxfId="138" totalsRowBorderDxfId="137">
  <autoFilter ref="A1:U49" xr:uid="{DC9E6294-110C-4685-A750-7621A27C774C}"/>
  <sortState xmlns:xlrd2="http://schemas.microsoft.com/office/spreadsheetml/2017/richdata2" ref="A2:U49">
    <sortCondition ref="A1:A49"/>
  </sortState>
  <tableColumns count="21">
    <tableColumn id="1" xr3:uid="{EBC708FA-3B08-48FC-8816-8E35127B9BB1}" name="TC ID" dataDxfId="48"/>
    <tableColumn id="2" xr3:uid="{E38A2D9D-AC74-4A14-9D0C-89AC6B2CA498}" name="Feature" dataDxfId="47"/>
    <tableColumn id="3" xr3:uid="{DF676163-17E4-4662-89E7-C039B8E3446C}" name="Title" dataDxfId="46"/>
    <tableColumn id="4" xr3:uid="{EF6F2FCE-DF80-483B-A257-F3341313D276}" name="Description" dataDxfId="45"/>
    <tableColumn id="5" xr3:uid="{4094E578-0ECD-4DFD-AAD7-F8C30F4AE0F3}" name="Pre-Conditions" dataDxfId="44"/>
    <tableColumn id="6" xr3:uid="{1EA61FAD-34E4-452E-B6A1-E35ACEB2573E}" name="Test Steps" dataDxfId="43"/>
    <tableColumn id="7" xr3:uid="{8AD91AF4-F1DC-4884-86D0-AA320A173EFB}" name="Test Data" dataDxfId="42"/>
    <tableColumn id="8" xr3:uid="{E446FC78-4A37-45D6-A481-C39F6CF8C759}" name="Expected Result" dataDxfId="41"/>
    <tableColumn id="9" xr3:uid="{47E31523-8743-428F-A686-1837F5AF0369}" name="UI Toast Expected" dataDxfId="40"/>
    <tableColumn id="10" xr3:uid="{C1A5E63F-CCC6-41F2-AFB5-78B38A7459F4}" name="Actual Result" dataDxfId="39"/>
    <tableColumn id="11" xr3:uid="{304858DC-4D2A-45EE-9CEB-E00F4B76BD3C}" name="Post-Conditions" dataDxfId="38"/>
    <tableColumn id="12" xr3:uid="{4C5F7BF2-1306-40CB-8CC0-E4C966262573}" name="Status" dataDxfId="37"/>
    <tableColumn id="13" xr3:uid="{6C1E50D3-E089-46FF-A49A-EC2E833B70A1}" name="Priority" dataDxfId="36"/>
    <tableColumn id="14" xr3:uid="{7EC7A4B3-D990-4B3D-8181-AFB6EB69B1CE}" name="Test Type" dataDxfId="35"/>
    <tableColumn id="15" xr3:uid="{7BDB03F8-F9BE-410E-B337-8A4119AE0592}" name="Tags" dataDxfId="34"/>
    <tableColumn id="16" xr3:uid="{BE02B24B-BD6A-4272-937B-7F4B27C9CB4A}" name="Notes" dataDxfId="33"/>
    <tableColumn id="18" xr3:uid="{41632824-8100-4706-90CB-F48EFB99156F}" name="Automation Feasibility" dataDxfId="32"/>
    <tableColumn id="19" xr3:uid="{142920A3-D6BF-4F88-8B7F-AC908A40C12F}" name="Phase" dataDxfId="31"/>
    <tableColumn id="20" xr3:uid="{06F6A475-02F8-4616-BAB9-08F56EC00AB3}" name="Owner" dataDxfId="30"/>
    <tableColumn id="21" xr3:uid="{91A767B8-20E9-4381-AE64-4AB201C01BB1}" name="Tester Name" dataDxfId="29"/>
    <tableColumn id="22" xr3:uid="{0A13F428-7ECA-490D-90BB-D99D64E7CCD0}" name="Execution Date" dataDxfId="2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6A3550-A504-4C8F-857A-05D66EA89A25}" name="Table2" displayName="Table2" ref="A1:U31" totalsRowShown="0" headerRowDxfId="136" dataDxfId="135">
  <autoFilter ref="A1:U31" xr:uid="{6B6A3550-A504-4C8F-857A-05D66EA89A25}"/>
  <sortState xmlns:xlrd2="http://schemas.microsoft.com/office/spreadsheetml/2017/richdata2" ref="A2:U25">
    <sortCondition ref="A1:A25"/>
  </sortState>
  <tableColumns count="21">
    <tableColumn id="1" xr3:uid="{7ED69186-5706-4830-9C15-7E06AE46AE97}" name="TC ID" dataDxfId="27"/>
    <tableColumn id="2" xr3:uid="{88507851-84E4-42DD-B52F-0E5166994A09}" name="Feature" dataDxfId="26"/>
    <tableColumn id="3" xr3:uid="{47F8CB35-9F44-4FCF-8416-C803E7DEE39C}" name="Title" dataDxfId="25"/>
    <tableColumn id="4" xr3:uid="{22F0501D-842F-4D10-86CB-61E62C5DEC74}" name="Description" dataDxfId="24"/>
    <tableColumn id="5" xr3:uid="{7507EEDE-AD78-469A-B18E-3D531A9CC1AA}" name="Pre-Conditions" dataDxfId="23"/>
    <tableColumn id="6" xr3:uid="{136E7831-5CE4-4CE1-8DC9-C631A05AA074}" name="Test Steps" dataDxfId="22"/>
    <tableColumn id="7" xr3:uid="{F60F746D-4A6C-4567-A03E-17C544F5796E}" name="Test Data" dataDxfId="21"/>
    <tableColumn id="8" xr3:uid="{49B00F30-DF48-46BF-A695-F376C5A877FE}" name="Expected Result" dataDxfId="20"/>
    <tableColumn id="9" xr3:uid="{E3FE87F2-CB59-4864-99D4-EDDDFD9DF443}" name="UI Toast Expected" dataDxfId="19"/>
    <tableColumn id="10" xr3:uid="{B89941CC-5292-4DB7-8DB0-70C46CB166C5}" name="Actual Result" dataDxfId="18"/>
    <tableColumn id="11" xr3:uid="{C2E90DE1-D8A3-4A99-8750-8C457BF6ADA4}" name="Post Conditions" dataDxfId="17"/>
    <tableColumn id="12" xr3:uid="{EA887E8D-3442-4D53-8DB7-D1830234ABFA}" name="Status" dataDxfId="16"/>
    <tableColumn id="13" xr3:uid="{85446DA2-F137-419F-A8A7-3CCA74EBC5EA}" name="Priority" dataDxfId="15"/>
    <tableColumn id="14" xr3:uid="{4FC5017A-4A43-4F87-B117-978235654E55}" name="Test Type" dataDxfId="14"/>
    <tableColumn id="15" xr3:uid="{0C388BA9-8B5A-4803-8598-EFFA0123647C}" name="Tags" dataDxfId="13"/>
    <tableColumn id="16" xr3:uid="{044D96E1-A848-4887-B5F7-92B16DBAE4D2}" name="Notes" dataDxfId="12"/>
    <tableColumn id="17" xr3:uid="{66A767A9-B836-4894-89A2-E03497A48BDA}" name="Automation Feasibility" dataDxfId="11"/>
    <tableColumn id="18" xr3:uid="{C7BFFDD5-411C-4784-8F3E-24B71E6457B5}" name="Phase" dataDxfId="10"/>
    <tableColumn id="19" xr3:uid="{A9AE2B0B-4716-41DD-87CC-CBDC0B57ED9D}" name="Owner" dataDxfId="9"/>
    <tableColumn id="20" xr3:uid="{31DD6C42-F73E-4597-980A-99FD9D2EFBF3}" name="Tester Name" dataDxfId="8"/>
    <tableColumn id="21" xr3:uid="{6864ED38-9F28-49E1-99A7-1CB4C03F9569}" name="Execution Date" dataDxfId="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E225B4-369C-4F8D-8C0D-A8729CFE25C6}" name="Table4" displayName="Table4" ref="A1:J47" totalsRowShown="0" headerRowDxfId="0" dataDxfId="49">
  <autoFilter ref="A1:J47" xr:uid="{BCE225B4-369C-4F8D-8C0D-A8729CFE25C6}"/>
  <tableColumns count="10">
    <tableColumn id="1" xr3:uid="{BA80EBB7-0D4D-4A59-90CD-F98DAE1CBA76}" name="Bug ID" dataDxfId="59"/>
    <tableColumn id="2" xr3:uid="{9F1AD61F-23F8-4B92-A9CE-02168983706D}" name="Feature" dataDxfId="58"/>
    <tableColumn id="3" xr3:uid="{405FB5A4-2992-4E13-9B7E-14D9BDC38169}" name="Title / Summary" dataDxfId="57"/>
    <tableColumn id="4" xr3:uid="{2A15AF48-ED89-4CD5-A111-7D5CD64C3FF7}" name="Observed Behavior" dataDxfId="56"/>
    <tableColumn id="5" xr3:uid="{7575EEED-BCAA-4435-B5DA-C3DED1D59A6C}" name="Expected Behavior" dataDxfId="55"/>
    <tableColumn id="6" xr3:uid="{4E5C53BE-B8D1-4F73-B386-7477AAFA9A45}" name="Severity" dataDxfId="54"/>
    <tableColumn id="7" xr3:uid="{D1DBDF0F-5A4B-4B33-B507-BA7F4E34E6DD}" name="Status" dataDxfId="53"/>
    <tableColumn id="8" xr3:uid="{A17D5F62-288E-4736-B93C-A14BCDD69EA4}" name="Detected In Phase" dataDxfId="52"/>
    <tableColumn id="9" xr3:uid="{9A90592B-FE66-43C7-8094-485BC71564CA}" name="Repro Steps (Brief)" dataDxfId="51"/>
    <tableColumn id="10" xr3:uid="{69A7EE74-601D-4FF7-A291-5413EA3EFE71}" name="Proposed Fix / Notes" dataDxfId="5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7AF058-6836-44DC-B7A3-73661274F16A}" name="Table5" displayName="Table5" ref="A1:B5" totalsRowShown="0" headerRowDxfId="1" dataDxfId="2" headerRowBorderDxfId="5" tableBorderDxfId="6">
  <autoFilter ref="A1:B5" xr:uid="{737AF058-6836-44DC-B7A3-73661274F16A}"/>
  <tableColumns count="2">
    <tableColumn id="1" xr3:uid="{8F0280D4-E4DA-4C0F-88B8-AB372B5EB62E}" name="Field" dataDxfId="4"/>
    <tableColumn id="2" xr3:uid="{2E8D6EBA-E387-45C9-BEDD-ACF44F309732}" name="Mapping" dataDxfId="3"/>
  </tableColumns>
  <tableStyleInfo name="TableStyleLight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BD40-8A48-4F1E-BA77-5538FC3A0374}">
  <sheetPr>
    <tabColor theme="1" tint="0.34998626667073579"/>
  </sheetPr>
  <dimension ref="A3:O12"/>
  <sheetViews>
    <sheetView tabSelected="1" workbookViewId="0">
      <selection activeCell="G2" sqref="G2"/>
    </sheetView>
  </sheetViews>
  <sheetFormatPr defaultRowHeight="14.4"/>
  <cols>
    <col min="1" max="1" width="16.5546875" customWidth="1"/>
    <col min="10" max="10" width="14.44140625" customWidth="1"/>
    <col min="14" max="14" width="23" customWidth="1"/>
    <col min="16" max="16" width="25.6640625" customWidth="1"/>
  </cols>
  <sheetData>
    <row r="3" spans="1:15">
      <c r="A3" s="48" t="s">
        <v>755</v>
      </c>
      <c r="B3" s="48" t="s">
        <v>756</v>
      </c>
      <c r="H3" s="48" t="s">
        <v>602</v>
      </c>
      <c r="I3" s="48" t="s">
        <v>766</v>
      </c>
      <c r="J3" s="48" t="s">
        <v>767</v>
      </c>
      <c r="M3" s="47" t="s">
        <v>759</v>
      </c>
      <c r="N3" s="47"/>
      <c r="O3" s="20">
        <f>$B$6</f>
        <v>0.95833333333333337</v>
      </c>
    </row>
    <row r="4" spans="1:15">
      <c r="A4" s="10" t="s">
        <v>757</v>
      </c>
      <c r="B4" s="10">
        <f>COUNTA(Education!A2:A105)+COUNTA(Certification!A2:A106)</f>
        <v>72</v>
      </c>
      <c r="H4" s="10" t="s">
        <v>123</v>
      </c>
      <c r="I4" s="10">
        <f>COUNTIF(Bugs!F1:F101,"High")</f>
        <v>14</v>
      </c>
      <c r="J4" s="20">
        <f>I4/$B$11</f>
        <v>0.60869565217391308</v>
      </c>
      <c r="M4" s="47"/>
      <c r="N4" s="47"/>
    </row>
    <row r="5" spans="1:15">
      <c r="A5" s="10" t="s">
        <v>758</v>
      </c>
      <c r="B5" s="10">
        <f>B7+B8</f>
        <v>69</v>
      </c>
      <c r="H5" s="10" t="s">
        <v>124</v>
      </c>
      <c r="I5" s="10">
        <f>COUNTIF(Bugs!F1:F101,"Medium")</f>
        <v>9</v>
      </c>
      <c r="J5" s="20">
        <f>I5/$B$11</f>
        <v>0.39130434782608697</v>
      </c>
      <c r="M5" s="47" t="s">
        <v>762</v>
      </c>
      <c r="N5" s="47"/>
      <c r="O5" s="20">
        <f>$B$10</f>
        <v>0.66666666666666663</v>
      </c>
    </row>
    <row r="6" spans="1:15">
      <c r="A6" s="10" t="s">
        <v>759</v>
      </c>
      <c r="B6" s="20">
        <f>B5/B4</f>
        <v>0.95833333333333337</v>
      </c>
      <c r="H6" s="10" t="s">
        <v>125</v>
      </c>
      <c r="I6" s="10">
        <f>COUNTIF(Bugs!F1:F101,"Low")</f>
        <v>0</v>
      </c>
      <c r="J6" s="20">
        <f>I6/$B$11</f>
        <v>0</v>
      </c>
      <c r="M6" s="47"/>
      <c r="N6" s="47"/>
    </row>
    <row r="7" spans="1:15">
      <c r="A7" s="10" t="s">
        <v>760</v>
      </c>
      <c r="B7" s="10">
        <f>COUNTIF(Education!L2:L105,"Pass")+COUNTIF(Certification!L2:L106,"Pass")</f>
        <v>46</v>
      </c>
      <c r="M7" s="47" t="s">
        <v>764</v>
      </c>
      <c r="N7" s="47"/>
      <c r="O7" s="20">
        <f>$B$12</f>
        <v>0.33333333333333331</v>
      </c>
    </row>
    <row r="8" spans="1:15">
      <c r="A8" s="10" t="s">
        <v>761</v>
      </c>
      <c r="B8" s="10">
        <f>COUNTIF(Education!L2:L105,"Fail")+COUNTIF(Certification!L2:L106,"Fail")</f>
        <v>23</v>
      </c>
      <c r="M8" s="47"/>
      <c r="N8" s="47"/>
    </row>
    <row r="9" spans="1:15">
      <c r="A9" s="10" t="s">
        <v>122</v>
      </c>
      <c r="B9" s="10">
        <f>COUNTIF(Education!L2:L105,"Not Run")+COUNTIF(Certification!L2:L106,"Not Run")</f>
        <v>3</v>
      </c>
      <c r="M9" s="47" t="s">
        <v>765</v>
      </c>
      <c r="N9" s="47"/>
      <c r="O9" s="20">
        <f>$J$4</f>
        <v>0.60869565217391308</v>
      </c>
    </row>
    <row r="10" spans="1:15">
      <c r="A10" s="10" t="s">
        <v>762</v>
      </c>
      <c r="B10" s="20">
        <f>B7/B5</f>
        <v>0.66666666666666663</v>
      </c>
      <c r="M10" s="47"/>
      <c r="N10" s="47"/>
    </row>
    <row r="11" spans="1:15">
      <c r="A11" s="10" t="s">
        <v>763</v>
      </c>
      <c r="B11" s="10">
        <f>COUNTA(Bugs!A2:A101)</f>
        <v>23</v>
      </c>
    </row>
    <row r="12" spans="1:15">
      <c r="A12" s="10" t="s">
        <v>764</v>
      </c>
      <c r="B12" s="20">
        <f>B11/B5</f>
        <v>0.33333333333333331</v>
      </c>
    </row>
  </sheetData>
  <mergeCells count="4">
    <mergeCell ref="M3:N4"/>
    <mergeCell ref="M5:N6"/>
    <mergeCell ref="M7:N8"/>
    <mergeCell ref="M9:N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X88"/>
  <sheetViews>
    <sheetView zoomScale="90" zoomScaleNormal="90" workbookViewId="0">
      <pane xSplit="3" ySplit="1" topLeftCell="D2" activePane="bottomRight" state="frozen"/>
      <selection pane="topRight" activeCell="D1" sqref="D1"/>
      <selection pane="bottomLeft" activeCell="A2" sqref="A2"/>
      <selection pane="bottomRight" activeCell="E7" sqref="E7"/>
    </sheetView>
  </sheetViews>
  <sheetFormatPr defaultRowHeight="10.199999999999999"/>
  <cols>
    <col min="1" max="1" width="8.6640625" style="3" bestFit="1" customWidth="1"/>
    <col min="2" max="2" width="16.77734375" style="3" customWidth="1"/>
    <col min="3" max="3" width="18.88671875" style="3" bestFit="1" customWidth="1"/>
    <col min="4" max="4" width="21.88671875" style="3" customWidth="1"/>
    <col min="5" max="5" width="22.44140625" style="3" bestFit="1" customWidth="1"/>
    <col min="6" max="6" width="34.6640625" style="3" bestFit="1" customWidth="1"/>
    <col min="7" max="7" width="16.109375" style="3" customWidth="1"/>
    <col min="8" max="8" width="24.21875" style="3" bestFit="1" customWidth="1"/>
    <col min="9" max="9" width="18.88671875" style="3" customWidth="1"/>
    <col min="10" max="10" width="26.88671875" style="3" customWidth="1"/>
    <col min="11" max="11" width="12.5546875" style="3" customWidth="1"/>
    <col min="12" max="12" width="6.109375" style="3" bestFit="1" customWidth="1"/>
    <col min="13" max="13" width="6.44140625" style="3" bestFit="1" customWidth="1"/>
    <col min="14" max="14" width="9.21875" style="3" bestFit="1" customWidth="1"/>
    <col min="15" max="17" width="17.77734375" style="3" customWidth="1"/>
    <col min="18" max="18" width="12.21875" style="3" customWidth="1"/>
    <col min="19" max="19" width="9.44140625" style="3" customWidth="1"/>
    <col min="20" max="20" width="14.33203125" style="3" customWidth="1"/>
    <col min="21" max="21" width="16" style="3" customWidth="1"/>
    <col min="22" max="22" width="8.88671875" style="3"/>
    <col min="23" max="23" width="33.77734375" style="3" customWidth="1"/>
    <col min="24" max="16384" width="8.88671875" style="3"/>
  </cols>
  <sheetData>
    <row r="1" spans="1:24">
      <c r="A1" s="27" t="s">
        <v>0</v>
      </c>
      <c r="B1" s="9" t="s">
        <v>1</v>
      </c>
      <c r="C1" s="27" t="s">
        <v>2</v>
      </c>
      <c r="D1" s="27" t="s">
        <v>3</v>
      </c>
      <c r="E1" s="27" t="s">
        <v>4</v>
      </c>
      <c r="F1" s="27" t="s">
        <v>5</v>
      </c>
      <c r="G1" s="27" t="s">
        <v>6</v>
      </c>
      <c r="H1" s="27" t="s">
        <v>7</v>
      </c>
      <c r="I1" s="27" t="s">
        <v>8</v>
      </c>
      <c r="J1" s="27" t="s">
        <v>9</v>
      </c>
      <c r="K1" s="27" t="s">
        <v>660</v>
      </c>
      <c r="L1" s="27" t="s">
        <v>11</v>
      </c>
      <c r="M1" s="27" t="s">
        <v>12</v>
      </c>
      <c r="N1" s="27" t="s">
        <v>13</v>
      </c>
      <c r="O1" s="27" t="s">
        <v>14</v>
      </c>
      <c r="P1" s="27" t="s">
        <v>15</v>
      </c>
      <c r="Q1" s="27" t="s">
        <v>147</v>
      </c>
      <c r="R1" s="27" t="s">
        <v>16</v>
      </c>
      <c r="S1" s="27" t="s">
        <v>17</v>
      </c>
      <c r="T1" s="27" t="s">
        <v>18</v>
      </c>
      <c r="U1" s="27" t="s">
        <v>19</v>
      </c>
    </row>
    <row r="2" spans="1:24" ht="30.6">
      <c r="A2" s="23" t="s">
        <v>20</v>
      </c>
      <c r="B2" s="22" t="s">
        <v>632</v>
      </c>
      <c r="C2" s="23" t="s">
        <v>42</v>
      </c>
      <c r="D2" s="23" t="s">
        <v>65</v>
      </c>
      <c r="E2" s="30" t="s">
        <v>81</v>
      </c>
      <c r="F2" s="30" t="s">
        <v>87</v>
      </c>
      <c r="G2" s="23" t="s">
        <v>381</v>
      </c>
      <c r="H2" s="30" t="s">
        <v>105</v>
      </c>
      <c r="I2" s="23" t="s">
        <v>733</v>
      </c>
      <c r="J2" s="22" t="s">
        <v>240</v>
      </c>
      <c r="K2" s="30" t="s">
        <v>657</v>
      </c>
      <c r="L2" s="23" t="s">
        <v>121</v>
      </c>
      <c r="M2" s="23" t="s">
        <v>123</v>
      </c>
      <c r="N2" s="23" t="s">
        <v>126</v>
      </c>
      <c r="O2" s="22" t="s">
        <v>570</v>
      </c>
      <c r="P2" s="22" t="s">
        <v>536</v>
      </c>
      <c r="Q2" s="22" t="s">
        <v>503</v>
      </c>
      <c r="R2" s="22" t="s">
        <v>658</v>
      </c>
      <c r="S2" s="22" t="s">
        <v>133</v>
      </c>
      <c r="T2" s="22" t="s">
        <v>746</v>
      </c>
      <c r="U2" s="31">
        <v>45954</v>
      </c>
      <c r="V2" s="26"/>
      <c r="W2" s="4"/>
      <c r="X2" s="4"/>
    </row>
    <row r="3" spans="1:24" ht="40.799999999999997">
      <c r="A3" s="23" t="s">
        <v>21</v>
      </c>
      <c r="B3" s="22" t="s">
        <v>632</v>
      </c>
      <c r="C3" s="23" t="s">
        <v>43</v>
      </c>
      <c r="D3" s="23" t="s">
        <v>66</v>
      </c>
      <c r="E3" s="30" t="s">
        <v>82</v>
      </c>
      <c r="F3" s="30" t="s">
        <v>88</v>
      </c>
      <c r="G3" s="23" t="s">
        <v>684</v>
      </c>
      <c r="H3" s="30" t="s">
        <v>106</v>
      </c>
      <c r="I3" s="23" t="s">
        <v>734</v>
      </c>
      <c r="J3" s="22" t="s">
        <v>241</v>
      </c>
      <c r="K3" s="30" t="s">
        <v>661</v>
      </c>
      <c r="L3" s="23" t="s">
        <v>121</v>
      </c>
      <c r="M3" s="23" t="s">
        <v>123</v>
      </c>
      <c r="N3" s="23" t="s">
        <v>126</v>
      </c>
      <c r="O3" s="22" t="s">
        <v>571</v>
      </c>
      <c r="P3" s="22" t="s">
        <v>537</v>
      </c>
      <c r="Q3" s="22" t="s">
        <v>504</v>
      </c>
      <c r="R3" s="22" t="s">
        <v>658</v>
      </c>
      <c r="S3" s="22" t="s">
        <v>133</v>
      </c>
      <c r="T3" s="22" t="s">
        <v>746</v>
      </c>
      <c r="U3" s="31">
        <v>45954</v>
      </c>
      <c r="V3" s="26"/>
      <c r="W3" s="21"/>
      <c r="X3" s="21"/>
    </row>
    <row r="4" spans="1:24" ht="40.799999999999997">
      <c r="A4" s="23" t="s">
        <v>22</v>
      </c>
      <c r="B4" s="22" t="s">
        <v>632</v>
      </c>
      <c r="C4" s="23" t="s">
        <v>44</v>
      </c>
      <c r="D4" s="23" t="s">
        <v>67</v>
      </c>
      <c r="E4" s="30" t="s">
        <v>668</v>
      </c>
      <c r="F4" s="30" t="s">
        <v>144</v>
      </c>
      <c r="G4" s="23" t="s">
        <v>685</v>
      </c>
      <c r="H4" s="30" t="s">
        <v>242</v>
      </c>
      <c r="I4" s="23" t="s">
        <v>735</v>
      </c>
      <c r="J4" s="22" t="s">
        <v>242</v>
      </c>
      <c r="K4" s="30" t="s">
        <v>194</v>
      </c>
      <c r="L4" s="23" t="s">
        <v>121</v>
      </c>
      <c r="M4" s="23" t="s">
        <v>123</v>
      </c>
      <c r="N4" s="23" t="s">
        <v>127</v>
      </c>
      <c r="O4" s="22" t="s">
        <v>572</v>
      </c>
      <c r="P4" s="22" t="s">
        <v>538</v>
      </c>
      <c r="Q4" s="22" t="s">
        <v>505</v>
      </c>
      <c r="R4" s="22" t="s">
        <v>658</v>
      </c>
      <c r="S4" s="22" t="s">
        <v>133</v>
      </c>
      <c r="T4" s="22" t="s">
        <v>746</v>
      </c>
      <c r="U4" s="31">
        <v>45954</v>
      </c>
      <c r="V4" s="26"/>
      <c r="W4" s="21"/>
      <c r="X4" s="21"/>
    </row>
    <row r="5" spans="1:24" ht="40.799999999999997">
      <c r="A5" s="23" t="s">
        <v>23</v>
      </c>
      <c r="B5" s="22" t="s">
        <v>632</v>
      </c>
      <c r="C5" s="23" t="s">
        <v>45</v>
      </c>
      <c r="D5" s="23" t="s">
        <v>68</v>
      </c>
      <c r="E5" s="30" t="s">
        <v>83</v>
      </c>
      <c r="F5" s="30" t="s">
        <v>143</v>
      </c>
      <c r="G5" s="23" t="s">
        <v>686</v>
      </c>
      <c r="H5" s="30" t="s">
        <v>687</v>
      </c>
      <c r="I5" s="23" t="s">
        <v>736</v>
      </c>
      <c r="J5" s="22" t="s">
        <v>243</v>
      </c>
      <c r="K5" s="30" t="s">
        <v>119</v>
      </c>
      <c r="L5" s="23" t="s">
        <v>121</v>
      </c>
      <c r="M5" s="23" t="s">
        <v>123</v>
      </c>
      <c r="N5" s="23" t="s">
        <v>126</v>
      </c>
      <c r="O5" s="22" t="s">
        <v>573</v>
      </c>
      <c r="P5" s="22" t="s">
        <v>539</v>
      </c>
      <c r="Q5" s="22" t="s">
        <v>506</v>
      </c>
      <c r="R5" s="22" t="s">
        <v>658</v>
      </c>
      <c r="S5" s="22" t="s">
        <v>133</v>
      </c>
      <c r="T5" s="22" t="s">
        <v>746</v>
      </c>
      <c r="U5" s="31">
        <v>45954</v>
      </c>
      <c r="V5" s="26"/>
      <c r="W5" s="21"/>
      <c r="X5" s="21"/>
    </row>
    <row r="6" spans="1:24" ht="40.799999999999997">
      <c r="A6" s="23" t="s">
        <v>24</v>
      </c>
      <c r="B6" s="22" t="s">
        <v>632</v>
      </c>
      <c r="C6" s="23" t="s">
        <v>46</v>
      </c>
      <c r="D6" s="23" t="s">
        <v>69</v>
      </c>
      <c r="E6" s="30" t="s">
        <v>83</v>
      </c>
      <c r="F6" s="30" t="s">
        <v>89</v>
      </c>
      <c r="G6" s="23" t="s">
        <v>688</v>
      </c>
      <c r="H6" s="30" t="s">
        <v>108</v>
      </c>
      <c r="I6" s="23" t="s">
        <v>737</v>
      </c>
      <c r="J6" s="22" t="s">
        <v>244</v>
      </c>
      <c r="K6" s="30" t="s">
        <v>662</v>
      </c>
      <c r="L6" s="23" t="s">
        <v>121</v>
      </c>
      <c r="M6" s="23" t="s">
        <v>123</v>
      </c>
      <c r="N6" s="23" t="s">
        <v>126</v>
      </c>
      <c r="O6" s="22" t="s">
        <v>574</v>
      </c>
      <c r="P6" s="22" t="s">
        <v>540</v>
      </c>
      <c r="Q6" s="22" t="s">
        <v>507</v>
      </c>
      <c r="R6" s="22" t="s">
        <v>658</v>
      </c>
      <c r="S6" s="22" t="s">
        <v>133</v>
      </c>
      <c r="T6" s="22" t="s">
        <v>746</v>
      </c>
      <c r="U6" s="31">
        <v>45954</v>
      </c>
      <c r="V6" s="26"/>
      <c r="W6" s="21"/>
      <c r="X6" s="21"/>
    </row>
    <row r="7" spans="1:24" ht="40.799999999999997">
      <c r="A7" s="23" t="s">
        <v>25</v>
      </c>
      <c r="B7" s="22" t="s">
        <v>632</v>
      </c>
      <c r="C7" s="23" t="s">
        <v>47</v>
      </c>
      <c r="D7" s="23" t="s">
        <v>70</v>
      </c>
      <c r="E7" s="30" t="s">
        <v>82</v>
      </c>
      <c r="F7" s="30" t="s">
        <v>90</v>
      </c>
      <c r="G7" s="23" t="s">
        <v>689</v>
      </c>
      <c r="H7" s="30" t="s">
        <v>690</v>
      </c>
      <c r="I7" s="23" t="s">
        <v>738</v>
      </c>
      <c r="J7" s="23" t="s">
        <v>380</v>
      </c>
      <c r="K7" s="30" t="s">
        <v>194</v>
      </c>
      <c r="L7" s="23" t="s">
        <v>121</v>
      </c>
      <c r="M7" s="23" t="s">
        <v>124</v>
      </c>
      <c r="N7" s="23" t="s">
        <v>128</v>
      </c>
      <c r="O7" s="22" t="s">
        <v>575</v>
      </c>
      <c r="P7" s="22" t="s">
        <v>541</v>
      </c>
      <c r="Q7" s="22" t="s">
        <v>508</v>
      </c>
      <c r="R7" s="22" t="s">
        <v>659</v>
      </c>
      <c r="S7" s="22" t="s">
        <v>133</v>
      </c>
      <c r="T7" s="22" t="s">
        <v>746</v>
      </c>
      <c r="U7" s="31">
        <v>45954</v>
      </c>
      <c r="V7" s="26"/>
      <c r="W7" s="21"/>
      <c r="X7" s="21"/>
    </row>
    <row r="8" spans="1:24" ht="40.799999999999997">
      <c r="A8" s="23" t="s">
        <v>26</v>
      </c>
      <c r="B8" s="22" t="s">
        <v>632</v>
      </c>
      <c r="C8" s="23" t="s">
        <v>48</v>
      </c>
      <c r="D8" s="23" t="s">
        <v>71</v>
      </c>
      <c r="E8" s="30" t="s">
        <v>84</v>
      </c>
      <c r="F8" s="30" t="s">
        <v>91</v>
      </c>
      <c r="G8" s="23" t="s">
        <v>691</v>
      </c>
      <c r="H8" s="30" t="s">
        <v>109</v>
      </c>
      <c r="I8" s="23" t="s">
        <v>739</v>
      </c>
      <c r="J8" s="22" t="s">
        <v>375</v>
      </c>
      <c r="K8" s="30" t="s">
        <v>194</v>
      </c>
      <c r="L8" s="23" t="s">
        <v>121</v>
      </c>
      <c r="M8" s="23" t="s">
        <v>123</v>
      </c>
      <c r="N8" s="23" t="s">
        <v>127</v>
      </c>
      <c r="O8" s="22" t="s">
        <v>576</v>
      </c>
      <c r="P8" s="22" t="s">
        <v>542</v>
      </c>
      <c r="Q8" s="22" t="s">
        <v>509</v>
      </c>
      <c r="R8" s="22" t="s">
        <v>658</v>
      </c>
      <c r="S8" s="22" t="s">
        <v>133</v>
      </c>
      <c r="T8" s="22" t="s">
        <v>746</v>
      </c>
      <c r="U8" s="31">
        <v>45954</v>
      </c>
      <c r="V8" s="26"/>
      <c r="W8" s="21"/>
      <c r="X8" s="21"/>
    </row>
    <row r="9" spans="1:24" ht="40.799999999999997">
      <c r="A9" s="23" t="s">
        <v>27</v>
      </c>
      <c r="B9" s="22" t="s">
        <v>633</v>
      </c>
      <c r="C9" s="23" t="s">
        <v>49</v>
      </c>
      <c r="D9" s="23" t="s">
        <v>72</v>
      </c>
      <c r="E9" s="30" t="s">
        <v>82</v>
      </c>
      <c r="F9" s="30" t="s">
        <v>92</v>
      </c>
      <c r="G9" s="23" t="s">
        <v>692</v>
      </c>
      <c r="H9" s="30" t="s">
        <v>181</v>
      </c>
      <c r="I9" s="23" t="s">
        <v>742</v>
      </c>
      <c r="J9" s="22" t="s">
        <v>377</v>
      </c>
      <c r="K9" s="30" t="s">
        <v>194</v>
      </c>
      <c r="L9" s="23" t="s">
        <v>183</v>
      </c>
      <c r="M9" s="23" t="s">
        <v>123</v>
      </c>
      <c r="N9" s="23" t="s">
        <v>129</v>
      </c>
      <c r="O9" s="22" t="s">
        <v>577</v>
      </c>
      <c r="P9" s="22" t="s">
        <v>566</v>
      </c>
      <c r="Q9" s="22" t="s">
        <v>510</v>
      </c>
      <c r="R9" s="22" t="s">
        <v>658</v>
      </c>
      <c r="S9" s="22" t="s">
        <v>133</v>
      </c>
      <c r="T9" s="22" t="s">
        <v>746</v>
      </c>
      <c r="U9" s="31">
        <v>45954</v>
      </c>
      <c r="V9" s="26"/>
      <c r="W9" s="21"/>
      <c r="X9" s="21"/>
    </row>
    <row r="10" spans="1:24" ht="51">
      <c r="A10" s="23" t="s">
        <v>35</v>
      </c>
      <c r="B10" s="22" t="s">
        <v>633</v>
      </c>
      <c r="C10" s="23" t="s">
        <v>58</v>
      </c>
      <c r="D10" s="23" t="s">
        <v>78</v>
      </c>
      <c r="E10" s="30" t="s">
        <v>82</v>
      </c>
      <c r="F10" s="30" t="s">
        <v>378</v>
      </c>
      <c r="G10" s="23" t="s">
        <v>693</v>
      </c>
      <c r="H10" s="30" t="s">
        <v>181</v>
      </c>
      <c r="I10" s="23" t="s">
        <v>742</v>
      </c>
      <c r="J10" s="22" t="s">
        <v>379</v>
      </c>
      <c r="K10" s="30" t="s">
        <v>663</v>
      </c>
      <c r="L10" s="23" t="s">
        <v>183</v>
      </c>
      <c r="M10" s="23" t="s">
        <v>124</v>
      </c>
      <c r="N10" s="23" t="s">
        <v>129</v>
      </c>
      <c r="O10" s="22" t="s">
        <v>578</v>
      </c>
      <c r="P10" s="22" t="s">
        <v>543</v>
      </c>
      <c r="Q10" s="22" t="s">
        <v>511</v>
      </c>
      <c r="R10" s="22" t="s">
        <v>659</v>
      </c>
      <c r="S10" s="22" t="s">
        <v>133</v>
      </c>
      <c r="T10" s="22" t="s">
        <v>746</v>
      </c>
      <c r="U10" s="31">
        <v>45954</v>
      </c>
      <c r="V10" s="26"/>
      <c r="W10" s="21"/>
      <c r="X10" s="21"/>
    </row>
    <row r="11" spans="1:24" ht="61.2">
      <c r="A11" s="23" t="s">
        <v>28</v>
      </c>
      <c r="B11" s="22" t="s">
        <v>634</v>
      </c>
      <c r="C11" s="23" t="s">
        <v>50</v>
      </c>
      <c r="D11" s="23" t="s">
        <v>73</v>
      </c>
      <c r="E11" s="30" t="s">
        <v>669</v>
      </c>
      <c r="F11" s="30" t="s">
        <v>644</v>
      </c>
      <c r="G11" s="23" t="s">
        <v>694</v>
      </c>
      <c r="H11" s="30" t="s">
        <v>110</v>
      </c>
      <c r="I11" s="23" t="s">
        <v>738</v>
      </c>
      <c r="J11" s="23" t="s">
        <v>110</v>
      </c>
      <c r="K11" s="30" t="s">
        <v>657</v>
      </c>
      <c r="L11" s="23" t="s">
        <v>121</v>
      </c>
      <c r="M11" s="23" t="s">
        <v>124</v>
      </c>
      <c r="N11" s="23" t="s">
        <v>41</v>
      </c>
      <c r="O11" s="22" t="s">
        <v>579</v>
      </c>
      <c r="P11" s="22" t="s">
        <v>544</v>
      </c>
      <c r="Q11" s="22" t="s">
        <v>512</v>
      </c>
      <c r="R11" s="22" t="s">
        <v>659</v>
      </c>
      <c r="S11" s="22" t="s">
        <v>133</v>
      </c>
      <c r="T11" s="22" t="s">
        <v>746</v>
      </c>
      <c r="U11" s="31">
        <v>45954</v>
      </c>
      <c r="V11" s="26"/>
      <c r="W11" s="21"/>
      <c r="X11" s="21"/>
    </row>
    <row r="12" spans="1:24" ht="40.799999999999997">
      <c r="A12" s="23" t="s">
        <v>36</v>
      </c>
      <c r="B12" s="22" t="s">
        <v>634</v>
      </c>
      <c r="C12" s="23" t="s">
        <v>51</v>
      </c>
      <c r="D12" s="23" t="s">
        <v>74</v>
      </c>
      <c r="E12" s="30" t="s">
        <v>670</v>
      </c>
      <c r="F12" s="30" t="s">
        <v>93</v>
      </c>
      <c r="G12" s="23" t="s">
        <v>695</v>
      </c>
      <c r="H12" s="30" t="s">
        <v>111</v>
      </c>
      <c r="I12" s="23" t="s">
        <v>739</v>
      </c>
      <c r="J12" s="23" t="s">
        <v>478</v>
      </c>
      <c r="K12" s="30" t="s">
        <v>194</v>
      </c>
      <c r="L12" s="23" t="s">
        <v>121</v>
      </c>
      <c r="M12" s="23" t="s">
        <v>124</v>
      </c>
      <c r="N12" s="23" t="s">
        <v>128</v>
      </c>
      <c r="O12" s="22" t="s">
        <v>580</v>
      </c>
      <c r="P12" s="22" t="s">
        <v>545</v>
      </c>
      <c r="Q12" s="22" t="s">
        <v>513</v>
      </c>
      <c r="R12" s="22" t="s">
        <v>658</v>
      </c>
      <c r="S12" s="22" t="s">
        <v>133</v>
      </c>
      <c r="T12" s="22" t="s">
        <v>746</v>
      </c>
      <c r="U12" s="31">
        <v>45954</v>
      </c>
      <c r="V12" s="26"/>
      <c r="W12" s="21"/>
      <c r="X12" s="21"/>
    </row>
    <row r="13" spans="1:24" ht="51">
      <c r="A13" s="23" t="s">
        <v>29</v>
      </c>
      <c r="B13" s="22" t="s">
        <v>634</v>
      </c>
      <c r="C13" s="23" t="s">
        <v>52</v>
      </c>
      <c r="D13" s="23" t="s">
        <v>75</v>
      </c>
      <c r="E13" s="30" t="s">
        <v>85</v>
      </c>
      <c r="F13" s="30" t="s">
        <v>94</v>
      </c>
      <c r="G13" s="23" t="s">
        <v>696</v>
      </c>
      <c r="H13" s="30" t="s">
        <v>112</v>
      </c>
      <c r="I13" s="23" t="s">
        <v>739</v>
      </c>
      <c r="J13" s="22" t="s">
        <v>245</v>
      </c>
      <c r="K13" s="30" t="s">
        <v>194</v>
      </c>
      <c r="L13" s="23" t="s">
        <v>121</v>
      </c>
      <c r="M13" s="23" t="s">
        <v>123</v>
      </c>
      <c r="N13" s="23" t="s">
        <v>128</v>
      </c>
      <c r="O13" s="22" t="s">
        <v>580</v>
      </c>
      <c r="P13" s="22" t="s">
        <v>567</v>
      </c>
      <c r="Q13" s="22" t="s">
        <v>514</v>
      </c>
      <c r="R13" s="22" t="s">
        <v>658</v>
      </c>
      <c r="S13" s="22" t="s">
        <v>133</v>
      </c>
      <c r="T13" s="22" t="s">
        <v>746</v>
      </c>
      <c r="U13" s="31">
        <v>45954</v>
      </c>
      <c r="V13" s="26"/>
      <c r="W13" s="21"/>
      <c r="X13" s="21"/>
    </row>
    <row r="14" spans="1:24" ht="40.799999999999997">
      <c r="A14" s="23" t="s">
        <v>30</v>
      </c>
      <c r="B14" s="22" t="s">
        <v>634</v>
      </c>
      <c r="C14" s="23" t="s">
        <v>59</v>
      </c>
      <c r="D14" s="23" t="s">
        <v>79</v>
      </c>
      <c r="E14" s="30" t="s">
        <v>85</v>
      </c>
      <c r="F14" s="30" t="s">
        <v>100</v>
      </c>
      <c r="G14" s="23" t="s">
        <v>697</v>
      </c>
      <c r="H14" s="30" t="s">
        <v>114</v>
      </c>
      <c r="I14" s="23" t="s">
        <v>738</v>
      </c>
      <c r="J14" s="23" t="s">
        <v>114</v>
      </c>
      <c r="K14" s="30" t="s">
        <v>657</v>
      </c>
      <c r="L14" s="23" t="s">
        <v>121</v>
      </c>
      <c r="M14" s="23" t="s">
        <v>125</v>
      </c>
      <c r="N14" s="23" t="s">
        <v>128</v>
      </c>
      <c r="O14" s="22" t="s">
        <v>581</v>
      </c>
      <c r="P14" s="22" t="s">
        <v>546</v>
      </c>
      <c r="Q14" s="22" t="s">
        <v>515</v>
      </c>
      <c r="R14" s="22" t="s">
        <v>682</v>
      </c>
      <c r="S14" s="22" t="s">
        <v>133</v>
      </c>
      <c r="T14" s="22" t="s">
        <v>746</v>
      </c>
      <c r="U14" s="31">
        <v>45954</v>
      </c>
      <c r="V14" s="26"/>
      <c r="W14" s="21"/>
      <c r="X14" s="21"/>
    </row>
    <row r="15" spans="1:24" ht="40.799999999999997">
      <c r="A15" s="23" t="s">
        <v>37</v>
      </c>
      <c r="B15" s="22" t="s">
        <v>634</v>
      </c>
      <c r="C15" s="23" t="s">
        <v>60</v>
      </c>
      <c r="D15" s="23" t="s">
        <v>80</v>
      </c>
      <c r="E15" s="30" t="s">
        <v>86</v>
      </c>
      <c r="F15" s="30" t="s">
        <v>101</v>
      </c>
      <c r="G15" s="23" t="s">
        <v>698</v>
      </c>
      <c r="H15" s="30" t="s">
        <v>115</v>
      </c>
      <c r="I15" s="23" t="s">
        <v>738</v>
      </c>
      <c r="J15" s="23" t="s">
        <v>115</v>
      </c>
      <c r="K15" s="30" t="s">
        <v>657</v>
      </c>
      <c r="L15" s="23" t="s">
        <v>121</v>
      </c>
      <c r="M15" s="23" t="s">
        <v>125</v>
      </c>
      <c r="N15" s="23" t="s">
        <v>41</v>
      </c>
      <c r="O15" s="22" t="s">
        <v>579</v>
      </c>
      <c r="P15" s="22" t="s">
        <v>547</v>
      </c>
      <c r="Q15" s="22" t="s">
        <v>516</v>
      </c>
      <c r="R15" s="22" t="s">
        <v>682</v>
      </c>
      <c r="S15" s="22" t="s">
        <v>133</v>
      </c>
      <c r="T15" s="22" t="s">
        <v>746</v>
      </c>
      <c r="U15" s="31">
        <v>45954</v>
      </c>
      <c r="V15" s="26"/>
      <c r="W15" s="21"/>
      <c r="X15" s="21"/>
    </row>
    <row r="16" spans="1:24" ht="40.799999999999997">
      <c r="A16" s="23" t="s">
        <v>38</v>
      </c>
      <c r="B16" s="22" t="s">
        <v>635</v>
      </c>
      <c r="C16" s="23" t="s">
        <v>490</v>
      </c>
      <c r="D16" s="23" t="s">
        <v>76</v>
      </c>
      <c r="E16" s="30" t="s">
        <v>671</v>
      </c>
      <c r="F16" s="30" t="s">
        <v>491</v>
      </c>
      <c r="G16" s="23" t="s">
        <v>699</v>
      </c>
      <c r="H16" s="30" t="s">
        <v>700</v>
      </c>
      <c r="I16" s="23" t="s">
        <v>738</v>
      </c>
      <c r="J16" s="23" t="s">
        <v>489</v>
      </c>
      <c r="K16" s="30" t="s">
        <v>657</v>
      </c>
      <c r="L16" s="23" t="s">
        <v>121</v>
      </c>
      <c r="M16" s="23" t="s">
        <v>123</v>
      </c>
      <c r="N16" s="23" t="s">
        <v>128</v>
      </c>
      <c r="O16" s="22" t="s">
        <v>582</v>
      </c>
      <c r="P16" s="22" t="s">
        <v>548</v>
      </c>
      <c r="Q16" s="22" t="s">
        <v>517</v>
      </c>
      <c r="R16" s="22" t="s">
        <v>658</v>
      </c>
      <c r="S16" s="22" t="s">
        <v>133</v>
      </c>
      <c r="T16" s="22" t="s">
        <v>746</v>
      </c>
      <c r="U16" s="31">
        <v>45954</v>
      </c>
      <c r="V16" s="26"/>
      <c r="W16" s="21"/>
      <c r="X16" s="21"/>
    </row>
    <row r="17" spans="1:24" ht="40.799999999999997">
      <c r="A17" s="23" t="s">
        <v>31</v>
      </c>
      <c r="B17" s="22" t="s">
        <v>635</v>
      </c>
      <c r="C17" s="22" t="s">
        <v>285</v>
      </c>
      <c r="D17" s="22" t="s">
        <v>286</v>
      </c>
      <c r="E17" s="30" t="s">
        <v>672</v>
      </c>
      <c r="F17" s="22" t="s">
        <v>287</v>
      </c>
      <c r="G17" s="23" t="s">
        <v>701</v>
      </c>
      <c r="H17" s="30" t="s">
        <v>702</v>
      </c>
      <c r="I17" s="23" t="s">
        <v>738</v>
      </c>
      <c r="J17" s="22" t="s">
        <v>289</v>
      </c>
      <c r="K17" s="30" t="s">
        <v>657</v>
      </c>
      <c r="L17" s="32" t="s">
        <v>121</v>
      </c>
      <c r="M17" s="22" t="s">
        <v>124</v>
      </c>
      <c r="N17" s="33" t="s">
        <v>130</v>
      </c>
      <c r="O17" s="22" t="s">
        <v>583</v>
      </c>
      <c r="P17" s="22" t="s">
        <v>549</v>
      </c>
      <c r="Q17" s="22" t="s">
        <v>518</v>
      </c>
      <c r="R17" s="22" t="s">
        <v>659</v>
      </c>
      <c r="S17" s="22" t="s">
        <v>133</v>
      </c>
      <c r="T17" s="22" t="s">
        <v>746</v>
      </c>
      <c r="U17" s="31">
        <v>45954</v>
      </c>
      <c r="V17" s="26"/>
      <c r="W17" s="21"/>
      <c r="X17" s="21"/>
    </row>
    <row r="18" spans="1:24" ht="30.6">
      <c r="A18" s="23" t="s">
        <v>32</v>
      </c>
      <c r="B18" s="22" t="s">
        <v>635</v>
      </c>
      <c r="C18" s="23" t="s">
        <v>383</v>
      </c>
      <c r="D18" s="23" t="s">
        <v>384</v>
      </c>
      <c r="E18" s="30" t="s">
        <v>673</v>
      </c>
      <c r="F18" s="30" t="s">
        <v>386</v>
      </c>
      <c r="G18" s="23" t="s">
        <v>703</v>
      </c>
      <c r="H18" s="30" t="s">
        <v>704</v>
      </c>
      <c r="I18" s="23" t="s">
        <v>739</v>
      </c>
      <c r="J18" s="22" t="s">
        <v>385</v>
      </c>
      <c r="K18" s="30" t="s">
        <v>194</v>
      </c>
      <c r="L18" s="23" t="s">
        <v>122</v>
      </c>
      <c r="M18" s="23" t="s">
        <v>123</v>
      </c>
      <c r="N18" s="23" t="s">
        <v>382</v>
      </c>
      <c r="O18" s="22" t="s">
        <v>584</v>
      </c>
      <c r="P18" s="22" t="s">
        <v>550</v>
      </c>
      <c r="Q18" s="22" t="s">
        <v>519</v>
      </c>
      <c r="R18" s="22" t="s">
        <v>658</v>
      </c>
      <c r="S18" s="22" t="s">
        <v>133</v>
      </c>
      <c r="T18" s="22" t="s">
        <v>746</v>
      </c>
      <c r="U18" s="31">
        <v>45954</v>
      </c>
      <c r="V18" s="26"/>
      <c r="W18" s="21"/>
      <c r="X18" s="21"/>
    </row>
    <row r="19" spans="1:24" ht="173.4">
      <c r="A19" s="23" t="s">
        <v>33</v>
      </c>
      <c r="B19" s="22" t="s">
        <v>635</v>
      </c>
      <c r="C19" s="23" t="s">
        <v>53</v>
      </c>
      <c r="D19" s="23" t="s">
        <v>77</v>
      </c>
      <c r="E19" s="30" t="s">
        <v>674</v>
      </c>
      <c r="F19" s="30" t="s">
        <v>95</v>
      </c>
      <c r="G19" s="23" t="s">
        <v>705</v>
      </c>
      <c r="H19" s="30" t="s">
        <v>706</v>
      </c>
      <c r="I19" s="23" t="s">
        <v>743</v>
      </c>
      <c r="J19" s="22" t="s">
        <v>492</v>
      </c>
      <c r="K19" s="30" t="s">
        <v>194</v>
      </c>
      <c r="L19" s="23" t="s">
        <v>183</v>
      </c>
      <c r="M19" s="23" t="s">
        <v>123</v>
      </c>
      <c r="N19" s="23" t="s">
        <v>129</v>
      </c>
      <c r="O19" s="22" t="s">
        <v>585</v>
      </c>
      <c r="P19" s="22" t="s">
        <v>551</v>
      </c>
      <c r="Q19" s="22" t="s">
        <v>502</v>
      </c>
      <c r="R19" s="22" t="s">
        <v>658</v>
      </c>
      <c r="S19" s="22" t="s">
        <v>133</v>
      </c>
      <c r="T19" s="22" t="s">
        <v>746</v>
      </c>
      <c r="U19" s="31">
        <v>45954</v>
      </c>
      <c r="V19" s="26"/>
      <c r="W19" s="21"/>
      <c r="X19" s="21"/>
    </row>
    <row r="20" spans="1:24" ht="40.799999999999997">
      <c r="A20" s="23" t="s">
        <v>34</v>
      </c>
      <c r="B20" s="22" t="s">
        <v>636</v>
      </c>
      <c r="C20" s="23" t="s">
        <v>773</v>
      </c>
      <c r="D20" s="23" t="s">
        <v>484</v>
      </c>
      <c r="E20" s="30" t="s">
        <v>675</v>
      </c>
      <c r="F20" s="30" t="s">
        <v>487</v>
      </c>
      <c r="G20" s="23" t="s">
        <v>707</v>
      </c>
      <c r="H20" s="30" t="s">
        <v>708</v>
      </c>
      <c r="I20" s="23" t="s">
        <v>735</v>
      </c>
      <c r="J20" s="22" t="s">
        <v>485</v>
      </c>
      <c r="K20" s="30" t="s">
        <v>664</v>
      </c>
      <c r="L20" s="23" t="s">
        <v>183</v>
      </c>
      <c r="M20" s="23" t="s">
        <v>123</v>
      </c>
      <c r="N20" s="23" t="s">
        <v>40</v>
      </c>
      <c r="O20" s="22" t="s">
        <v>586</v>
      </c>
      <c r="P20" s="22" t="s">
        <v>552</v>
      </c>
      <c r="Q20" s="22" t="s">
        <v>520</v>
      </c>
      <c r="R20" s="22" t="s">
        <v>658</v>
      </c>
      <c r="S20" s="22" t="s">
        <v>133</v>
      </c>
      <c r="T20" s="22" t="s">
        <v>746</v>
      </c>
      <c r="U20" s="31">
        <v>45957</v>
      </c>
      <c r="V20" s="26"/>
      <c r="W20" s="21"/>
      <c r="X20" s="21"/>
    </row>
    <row r="21" spans="1:24" ht="40.799999999999997">
      <c r="A21" s="23" t="s">
        <v>457</v>
      </c>
      <c r="B21" s="22" t="s">
        <v>636</v>
      </c>
      <c r="C21" s="23" t="s">
        <v>54</v>
      </c>
      <c r="D21" s="23" t="s">
        <v>54</v>
      </c>
      <c r="E21" s="30" t="s">
        <v>676</v>
      </c>
      <c r="F21" s="30" t="s">
        <v>96</v>
      </c>
      <c r="G21" s="23" t="s">
        <v>709</v>
      </c>
      <c r="H21" s="30" t="s">
        <v>710</v>
      </c>
      <c r="I21" s="23" t="s">
        <v>742</v>
      </c>
      <c r="J21" s="22" t="s">
        <v>246</v>
      </c>
      <c r="K21" s="30" t="s">
        <v>194</v>
      </c>
      <c r="L21" s="23" t="s">
        <v>121</v>
      </c>
      <c r="M21" s="23" t="s">
        <v>123</v>
      </c>
      <c r="N21" s="23" t="s">
        <v>40</v>
      </c>
      <c r="O21" s="22" t="s">
        <v>587</v>
      </c>
      <c r="P21" s="22" t="s">
        <v>553</v>
      </c>
      <c r="Q21" s="22" t="s">
        <v>521</v>
      </c>
      <c r="R21" s="22" t="s">
        <v>658</v>
      </c>
      <c r="S21" s="22" t="s">
        <v>133</v>
      </c>
      <c r="T21" s="22" t="s">
        <v>746</v>
      </c>
      <c r="U21" s="31">
        <v>45957</v>
      </c>
      <c r="V21" s="26"/>
      <c r="W21" s="21"/>
      <c r="X21" s="21"/>
    </row>
    <row r="22" spans="1:24" ht="40.799999999999997">
      <c r="A22" s="23" t="s">
        <v>458</v>
      </c>
      <c r="B22" s="22" t="s">
        <v>637</v>
      </c>
      <c r="C22" s="23" t="s">
        <v>61</v>
      </c>
      <c r="D22" s="23" t="s">
        <v>61</v>
      </c>
      <c r="E22" s="30" t="s">
        <v>677</v>
      </c>
      <c r="F22" s="30" t="s">
        <v>102</v>
      </c>
      <c r="G22" s="23" t="s">
        <v>711</v>
      </c>
      <c r="H22" s="30" t="s">
        <v>712</v>
      </c>
      <c r="I22" s="23" t="s">
        <v>738</v>
      </c>
      <c r="J22" s="22" t="s">
        <v>803</v>
      </c>
      <c r="K22" s="30" t="s">
        <v>657</v>
      </c>
      <c r="L22" s="23" t="s">
        <v>122</v>
      </c>
      <c r="M22" s="23" t="s">
        <v>124</v>
      </c>
      <c r="N22" s="23" t="s">
        <v>128</v>
      </c>
      <c r="O22" s="22" t="s">
        <v>588</v>
      </c>
      <c r="P22" s="22" t="s">
        <v>554</v>
      </c>
      <c r="Q22" s="22" t="s">
        <v>522</v>
      </c>
      <c r="R22" s="22" t="s">
        <v>682</v>
      </c>
      <c r="S22" s="22" t="s">
        <v>133</v>
      </c>
      <c r="T22" s="22" t="s">
        <v>746</v>
      </c>
      <c r="U22" s="31">
        <v>45957</v>
      </c>
      <c r="V22" s="26"/>
      <c r="W22" s="21"/>
      <c r="X22" s="21"/>
    </row>
    <row r="23" spans="1:24" ht="40.799999999999997">
      <c r="A23" s="23" t="s">
        <v>459</v>
      </c>
      <c r="B23" s="23" t="s">
        <v>638</v>
      </c>
      <c r="C23" s="23" t="s">
        <v>62</v>
      </c>
      <c r="D23" s="23" t="s">
        <v>62</v>
      </c>
      <c r="E23" s="30" t="s">
        <v>678</v>
      </c>
      <c r="F23" s="30" t="s">
        <v>630</v>
      </c>
      <c r="G23" s="23" t="s">
        <v>713</v>
      </c>
      <c r="H23" s="30" t="s">
        <v>714</v>
      </c>
      <c r="I23" s="23" t="s">
        <v>734</v>
      </c>
      <c r="J23" s="23" t="s">
        <v>116</v>
      </c>
      <c r="K23" s="30" t="s">
        <v>665</v>
      </c>
      <c r="L23" s="23" t="s">
        <v>121</v>
      </c>
      <c r="M23" s="23" t="s">
        <v>124</v>
      </c>
      <c r="N23" s="23" t="s">
        <v>130</v>
      </c>
      <c r="O23" s="22" t="s">
        <v>589</v>
      </c>
      <c r="P23" s="22" t="s">
        <v>555</v>
      </c>
      <c r="Q23" s="22" t="s">
        <v>523</v>
      </c>
      <c r="R23" s="22" t="s">
        <v>682</v>
      </c>
      <c r="S23" s="22" t="s">
        <v>133</v>
      </c>
      <c r="T23" s="22" t="s">
        <v>746</v>
      </c>
      <c r="U23" s="31">
        <v>45957</v>
      </c>
      <c r="V23" s="26"/>
      <c r="W23" s="21"/>
      <c r="X23" s="21"/>
    </row>
    <row r="24" spans="1:24" ht="40.799999999999997">
      <c r="A24" s="23" t="s">
        <v>460</v>
      </c>
      <c r="B24" s="22" t="s">
        <v>639</v>
      </c>
      <c r="C24" s="23" t="s">
        <v>55</v>
      </c>
      <c r="D24" s="23" t="s">
        <v>55</v>
      </c>
      <c r="E24" s="30" t="s">
        <v>82</v>
      </c>
      <c r="F24" s="30" t="s">
        <v>97</v>
      </c>
      <c r="G24" s="23" t="s">
        <v>715</v>
      </c>
      <c r="H24" s="30" t="s">
        <v>716</v>
      </c>
      <c r="I24" s="23" t="s">
        <v>734</v>
      </c>
      <c r="J24" s="23" t="s">
        <v>488</v>
      </c>
      <c r="K24" s="30" t="s">
        <v>666</v>
      </c>
      <c r="L24" s="23" t="s">
        <v>121</v>
      </c>
      <c r="M24" s="23" t="s">
        <v>123</v>
      </c>
      <c r="N24" s="23" t="s">
        <v>126</v>
      </c>
      <c r="O24" s="22" t="s">
        <v>590</v>
      </c>
      <c r="P24" s="22" t="s">
        <v>556</v>
      </c>
      <c r="Q24" s="22" t="s">
        <v>524</v>
      </c>
      <c r="R24" s="22" t="s">
        <v>658</v>
      </c>
      <c r="S24" s="22" t="s">
        <v>133</v>
      </c>
      <c r="T24" s="22" t="s">
        <v>746</v>
      </c>
      <c r="U24" s="31">
        <v>45957</v>
      </c>
      <c r="V24" s="26"/>
      <c r="W24" s="21"/>
      <c r="X24" s="21"/>
    </row>
    <row r="25" spans="1:24" ht="30.6">
      <c r="A25" s="23" t="s">
        <v>461</v>
      </c>
      <c r="B25" s="22" t="s">
        <v>639</v>
      </c>
      <c r="C25" s="23" t="s">
        <v>56</v>
      </c>
      <c r="D25" s="23" t="s">
        <v>56</v>
      </c>
      <c r="E25" s="30" t="s">
        <v>82</v>
      </c>
      <c r="F25" s="30" t="s">
        <v>98</v>
      </c>
      <c r="G25" s="23" t="s">
        <v>717</v>
      </c>
      <c r="H25" s="30" t="s">
        <v>109</v>
      </c>
      <c r="I25" s="23" t="s">
        <v>742</v>
      </c>
      <c r="J25" s="23" t="s">
        <v>488</v>
      </c>
      <c r="K25" s="30" t="s">
        <v>194</v>
      </c>
      <c r="L25" s="23" t="s">
        <v>183</v>
      </c>
      <c r="M25" s="23" t="s">
        <v>123</v>
      </c>
      <c r="N25" s="23" t="s">
        <v>127</v>
      </c>
      <c r="O25" s="22" t="s">
        <v>591</v>
      </c>
      <c r="P25" s="22" t="s">
        <v>557</v>
      </c>
      <c r="Q25" s="22" t="s">
        <v>525</v>
      </c>
      <c r="R25" s="22" t="s">
        <v>658</v>
      </c>
      <c r="S25" s="22" t="s">
        <v>133</v>
      </c>
      <c r="T25" s="22" t="s">
        <v>746</v>
      </c>
      <c r="U25" s="31">
        <v>45957</v>
      </c>
      <c r="V25" s="26"/>
      <c r="W25" s="21"/>
      <c r="X25" s="21"/>
    </row>
    <row r="26" spans="1:24" ht="40.799999999999997">
      <c r="A26" s="23" t="s">
        <v>462</v>
      </c>
      <c r="B26" s="22" t="s">
        <v>639</v>
      </c>
      <c r="C26" s="23" t="s">
        <v>57</v>
      </c>
      <c r="D26" s="23" t="s">
        <v>57</v>
      </c>
      <c r="E26" s="30" t="s">
        <v>82</v>
      </c>
      <c r="F26" s="30" t="s">
        <v>99</v>
      </c>
      <c r="G26" s="23" t="s">
        <v>718</v>
      </c>
      <c r="H26" s="30" t="s">
        <v>109</v>
      </c>
      <c r="I26" s="23" t="s">
        <v>744</v>
      </c>
      <c r="J26" s="23" t="s">
        <v>113</v>
      </c>
      <c r="K26" s="30" t="s">
        <v>194</v>
      </c>
      <c r="L26" s="23" t="s">
        <v>121</v>
      </c>
      <c r="M26" s="23" t="s">
        <v>123</v>
      </c>
      <c r="N26" s="23" t="s">
        <v>127</v>
      </c>
      <c r="O26" s="22" t="s">
        <v>576</v>
      </c>
      <c r="P26" s="22" t="s">
        <v>558</v>
      </c>
      <c r="Q26" s="22" t="s">
        <v>526</v>
      </c>
      <c r="R26" s="22" t="s">
        <v>658</v>
      </c>
      <c r="S26" s="22" t="s">
        <v>133</v>
      </c>
      <c r="T26" s="22" t="s">
        <v>746</v>
      </c>
      <c r="U26" s="31">
        <v>45957</v>
      </c>
      <c r="V26" s="26"/>
      <c r="W26" s="21"/>
      <c r="X26" s="21"/>
    </row>
    <row r="27" spans="1:24" ht="40.799999999999997">
      <c r="A27" s="23" t="s">
        <v>463</v>
      </c>
      <c r="B27" s="22" t="s">
        <v>639</v>
      </c>
      <c r="C27" s="23" t="s">
        <v>63</v>
      </c>
      <c r="D27" s="23" t="s">
        <v>63</v>
      </c>
      <c r="E27" s="30" t="s">
        <v>82</v>
      </c>
      <c r="F27" s="30" t="s">
        <v>103</v>
      </c>
      <c r="G27" s="23" t="s">
        <v>719</v>
      </c>
      <c r="H27" s="30" t="s">
        <v>109</v>
      </c>
      <c r="I27" s="23" t="s">
        <v>742</v>
      </c>
      <c r="J27" s="22" t="s">
        <v>496</v>
      </c>
      <c r="K27" s="30" t="s">
        <v>194</v>
      </c>
      <c r="L27" s="23" t="s">
        <v>183</v>
      </c>
      <c r="M27" s="23" t="s">
        <v>124</v>
      </c>
      <c r="N27" s="23" t="s">
        <v>127</v>
      </c>
      <c r="O27" s="22" t="s">
        <v>592</v>
      </c>
      <c r="P27" s="22" t="s">
        <v>568</v>
      </c>
      <c r="Q27" s="22" t="s">
        <v>527</v>
      </c>
      <c r="R27" s="22" t="s">
        <v>682</v>
      </c>
      <c r="S27" s="22" t="s">
        <v>133</v>
      </c>
      <c r="T27" s="22" t="s">
        <v>746</v>
      </c>
      <c r="U27" s="31">
        <v>45957</v>
      </c>
      <c r="V27" s="26"/>
      <c r="W27" s="21"/>
      <c r="X27" s="21"/>
    </row>
    <row r="28" spans="1:24" ht="30.6">
      <c r="A28" s="23" t="s">
        <v>464</v>
      </c>
      <c r="B28" s="22" t="s">
        <v>639</v>
      </c>
      <c r="C28" s="23" t="s">
        <v>493</v>
      </c>
      <c r="D28" s="23" t="s">
        <v>64</v>
      </c>
      <c r="E28" s="30" t="s">
        <v>82</v>
      </c>
      <c r="F28" s="30" t="s">
        <v>104</v>
      </c>
      <c r="G28" s="23" t="s">
        <v>720</v>
      </c>
      <c r="H28" s="30" t="s">
        <v>109</v>
      </c>
      <c r="I28" s="23" t="s">
        <v>742</v>
      </c>
      <c r="J28" s="22" t="s">
        <v>496</v>
      </c>
      <c r="K28" s="30" t="s">
        <v>194</v>
      </c>
      <c r="L28" s="23" t="s">
        <v>183</v>
      </c>
      <c r="M28" s="23" t="s">
        <v>124</v>
      </c>
      <c r="N28" s="23" t="s">
        <v>127</v>
      </c>
      <c r="O28" s="22" t="s">
        <v>576</v>
      </c>
      <c r="P28" s="22" t="s">
        <v>559</v>
      </c>
      <c r="Q28" s="22" t="s">
        <v>528</v>
      </c>
      <c r="R28" s="23" t="s">
        <v>682</v>
      </c>
      <c r="S28" s="22" t="s">
        <v>133</v>
      </c>
      <c r="T28" s="22" t="s">
        <v>746</v>
      </c>
      <c r="U28" s="31">
        <v>45957</v>
      </c>
      <c r="V28" s="26"/>
      <c r="W28" s="21"/>
      <c r="X28" s="21"/>
    </row>
    <row r="29" spans="1:24" ht="40.799999999999997">
      <c r="A29" s="23" t="s">
        <v>465</v>
      </c>
      <c r="B29" s="22" t="s">
        <v>640</v>
      </c>
      <c r="C29" s="23" t="s">
        <v>232</v>
      </c>
      <c r="D29" s="23" t="s">
        <v>233</v>
      </c>
      <c r="E29" s="30" t="s">
        <v>679</v>
      </c>
      <c r="F29" s="30" t="s">
        <v>234</v>
      </c>
      <c r="G29" s="23" t="s">
        <v>721</v>
      </c>
      <c r="H29" s="30" t="s">
        <v>722</v>
      </c>
      <c r="I29" s="23" t="s">
        <v>745</v>
      </c>
      <c r="J29" s="22" t="s">
        <v>247</v>
      </c>
      <c r="K29" s="30" t="s">
        <v>667</v>
      </c>
      <c r="L29" s="23" t="s">
        <v>121</v>
      </c>
      <c r="M29" s="23" t="s">
        <v>124</v>
      </c>
      <c r="N29" s="23" t="s">
        <v>130</v>
      </c>
      <c r="O29" s="22" t="s">
        <v>593</v>
      </c>
      <c r="P29" s="22" t="s">
        <v>560</v>
      </c>
      <c r="Q29" s="22" t="s">
        <v>529</v>
      </c>
      <c r="R29" s="23" t="s">
        <v>658</v>
      </c>
      <c r="S29" s="22" t="s">
        <v>133</v>
      </c>
      <c r="T29" s="22" t="s">
        <v>746</v>
      </c>
      <c r="U29" s="31">
        <v>45957</v>
      </c>
      <c r="V29" s="26"/>
      <c r="W29" s="21"/>
      <c r="X29" s="21"/>
    </row>
    <row r="30" spans="1:24" ht="51">
      <c r="A30" s="23" t="s">
        <v>466</v>
      </c>
      <c r="B30" s="22" t="s">
        <v>640</v>
      </c>
      <c r="C30" s="23" t="s">
        <v>387</v>
      </c>
      <c r="D30" s="23" t="s">
        <v>473</v>
      </c>
      <c r="E30" s="30" t="s">
        <v>82</v>
      </c>
      <c r="F30" s="30" t="s">
        <v>486</v>
      </c>
      <c r="G30" s="23" t="s">
        <v>723</v>
      </c>
      <c r="H30" s="30" t="s">
        <v>724</v>
      </c>
      <c r="I30" s="23" t="s">
        <v>744</v>
      </c>
      <c r="J30" s="22" t="s">
        <v>496</v>
      </c>
      <c r="K30" s="30" t="s">
        <v>194</v>
      </c>
      <c r="L30" s="23" t="s">
        <v>183</v>
      </c>
      <c r="M30" s="23" t="s">
        <v>124</v>
      </c>
      <c r="N30" s="23" t="s">
        <v>129</v>
      </c>
      <c r="O30" s="22" t="s">
        <v>594</v>
      </c>
      <c r="P30" s="22" t="s">
        <v>561</v>
      </c>
      <c r="Q30" s="22" t="s">
        <v>530</v>
      </c>
      <c r="R30" s="23" t="s">
        <v>682</v>
      </c>
      <c r="S30" s="22" t="s">
        <v>133</v>
      </c>
      <c r="T30" s="22" t="s">
        <v>746</v>
      </c>
      <c r="U30" s="31">
        <v>45957</v>
      </c>
      <c r="V30" s="26"/>
      <c r="W30" s="21"/>
      <c r="X30" s="21"/>
    </row>
    <row r="31" spans="1:24" ht="40.799999999999997">
      <c r="A31" s="23" t="s">
        <v>467</v>
      </c>
      <c r="B31" s="22" t="s">
        <v>640</v>
      </c>
      <c r="C31" s="23" t="s">
        <v>400</v>
      </c>
      <c r="D31" s="23" t="s">
        <v>474</v>
      </c>
      <c r="E31" s="30" t="s">
        <v>82</v>
      </c>
      <c r="F31" s="30" t="s">
        <v>495</v>
      </c>
      <c r="G31" s="23" t="s">
        <v>725</v>
      </c>
      <c r="H31" s="30" t="s">
        <v>726</v>
      </c>
      <c r="I31" s="23" t="s">
        <v>743</v>
      </c>
      <c r="J31" s="22" t="s">
        <v>500</v>
      </c>
      <c r="K31" s="30" t="s">
        <v>194</v>
      </c>
      <c r="L31" s="23" t="s">
        <v>121</v>
      </c>
      <c r="M31" s="23" t="s">
        <v>124</v>
      </c>
      <c r="N31" s="23" t="s">
        <v>127</v>
      </c>
      <c r="O31" s="22" t="s">
        <v>595</v>
      </c>
      <c r="P31" s="22" t="s">
        <v>562</v>
      </c>
      <c r="Q31" s="22" t="s">
        <v>531</v>
      </c>
      <c r="R31" s="23" t="s">
        <v>682</v>
      </c>
      <c r="S31" s="22" t="s">
        <v>133</v>
      </c>
      <c r="T31" s="22" t="s">
        <v>746</v>
      </c>
      <c r="U31" s="31">
        <v>45957</v>
      </c>
      <c r="V31" s="26"/>
      <c r="W31" s="21"/>
      <c r="X31" s="21"/>
    </row>
    <row r="32" spans="1:24" ht="40.799999999999997">
      <c r="A32" s="23" t="s">
        <v>468</v>
      </c>
      <c r="B32" s="23" t="s">
        <v>641</v>
      </c>
      <c r="C32" s="23" t="s">
        <v>425</v>
      </c>
      <c r="D32" s="23" t="s">
        <v>475</v>
      </c>
      <c r="E32" s="30" t="s">
        <v>680</v>
      </c>
      <c r="F32" s="30" t="s">
        <v>494</v>
      </c>
      <c r="G32" s="23" t="s">
        <v>727</v>
      </c>
      <c r="H32" s="30" t="s">
        <v>429</v>
      </c>
      <c r="I32" s="23" t="s">
        <v>743</v>
      </c>
      <c r="J32" s="22" t="s">
        <v>772</v>
      </c>
      <c r="K32" s="30" t="s">
        <v>194</v>
      </c>
      <c r="L32" s="23" t="s">
        <v>183</v>
      </c>
      <c r="M32" s="23" t="s">
        <v>123</v>
      </c>
      <c r="N32" s="23" t="s">
        <v>40</v>
      </c>
      <c r="O32" s="22" t="s">
        <v>596</v>
      </c>
      <c r="P32" s="22" t="s">
        <v>563</v>
      </c>
      <c r="Q32" s="22" t="s">
        <v>532</v>
      </c>
      <c r="R32" s="23" t="s">
        <v>658</v>
      </c>
      <c r="S32" s="22" t="s">
        <v>133</v>
      </c>
      <c r="T32" s="22" t="s">
        <v>746</v>
      </c>
      <c r="U32" s="31">
        <v>45957</v>
      </c>
      <c r="V32" s="26"/>
      <c r="W32" s="21"/>
      <c r="X32" s="21"/>
    </row>
    <row r="33" spans="1:24" ht="51">
      <c r="A33" s="23" t="s">
        <v>469</v>
      </c>
      <c r="B33" s="23" t="s">
        <v>642</v>
      </c>
      <c r="C33" s="23" t="s">
        <v>54</v>
      </c>
      <c r="D33" s="23" t="s">
        <v>476</v>
      </c>
      <c r="E33" s="30" t="s">
        <v>681</v>
      </c>
      <c r="F33" s="30" t="s">
        <v>497</v>
      </c>
      <c r="G33" s="23" t="s">
        <v>728</v>
      </c>
      <c r="H33" s="30" t="s">
        <v>477</v>
      </c>
      <c r="I33" s="23" t="s">
        <v>742</v>
      </c>
      <c r="J33" s="23" t="s">
        <v>501</v>
      </c>
      <c r="K33" s="30" t="s">
        <v>194</v>
      </c>
      <c r="L33" s="23" t="s">
        <v>121</v>
      </c>
      <c r="M33" s="23" t="s">
        <v>123</v>
      </c>
      <c r="N33" s="23" t="s">
        <v>40</v>
      </c>
      <c r="O33" s="22" t="s">
        <v>587</v>
      </c>
      <c r="P33" s="22" t="s">
        <v>564</v>
      </c>
      <c r="Q33" s="22" t="s">
        <v>533</v>
      </c>
      <c r="R33" s="23" t="s">
        <v>658</v>
      </c>
      <c r="S33" s="22" t="s">
        <v>133</v>
      </c>
      <c r="T33" s="22" t="s">
        <v>746</v>
      </c>
      <c r="U33" s="31">
        <v>45957</v>
      </c>
      <c r="V33" s="26"/>
      <c r="W33" s="21"/>
      <c r="X33" s="21"/>
    </row>
    <row r="34" spans="1:24" ht="61.2">
      <c r="A34" s="23" t="s">
        <v>470</v>
      </c>
      <c r="B34" s="22" t="s">
        <v>643</v>
      </c>
      <c r="C34" s="23" t="s">
        <v>479</v>
      </c>
      <c r="D34" s="23" t="s">
        <v>480</v>
      </c>
      <c r="E34" s="22" t="s">
        <v>674</v>
      </c>
      <c r="F34" s="30" t="s">
        <v>499</v>
      </c>
      <c r="G34" s="23" t="s">
        <v>729</v>
      </c>
      <c r="H34" s="30" t="s">
        <v>730</v>
      </c>
      <c r="I34" s="23" t="s">
        <v>744</v>
      </c>
      <c r="J34" s="22" t="s">
        <v>496</v>
      </c>
      <c r="K34" s="22" t="s">
        <v>194</v>
      </c>
      <c r="L34" s="23" t="s">
        <v>183</v>
      </c>
      <c r="M34" s="23" t="s">
        <v>123</v>
      </c>
      <c r="N34" s="23" t="s">
        <v>481</v>
      </c>
      <c r="O34" s="22" t="s">
        <v>597</v>
      </c>
      <c r="P34" s="22" t="s">
        <v>569</v>
      </c>
      <c r="Q34" s="22" t="s">
        <v>534</v>
      </c>
      <c r="R34" s="23" t="s">
        <v>658</v>
      </c>
      <c r="S34" s="22" t="s">
        <v>133</v>
      </c>
      <c r="T34" s="22" t="s">
        <v>746</v>
      </c>
      <c r="U34" s="31">
        <v>45957</v>
      </c>
      <c r="V34" s="26"/>
      <c r="W34" s="21"/>
      <c r="X34" s="21"/>
    </row>
    <row r="35" spans="1:24" ht="71.400000000000006">
      <c r="A35" s="23" t="s">
        <v>683</v>
      </c>
      <c r="B35" s="22" t="s">
        <v>643</v>
      </c>
      <c r="C35" s="23" t="s">
        <v>482</v>
      </c>
      <c r="D35" s="23" t="s">
        <v>483</v>
      </c>
      <c r="E35" s="22" t="s">
        <v>674</v>
      </c>
      <c r="F35" s="30" t="s">
        <v>498</v>
      </c>
      <c r="G35" s="23" t="s">
        <v>731</v>
      </c>
      <c r="H35" s="30" t="s">
        <v>732</v>
      </c>
      <c r="I35" s="23" t="s">
        <v>742</v>
      </c>
      <c r="J35" s="22" t="s">
        <v>496</v>
      </c>
      <c r="K35" s="22" t="s">
        <v>194</v>
      </c>
      <c r="L35" s="23" t="s">
        <v>183</v>
      </c>
      <c r="M35" s="23" t="s">
        <v>123</v>
      </c>
      <c r="N35" s="23" t="s">
        <v>481</v>
      </c>
      <c r="O35" s="22" t="s">
        <v>597</v>
      </c>
      <c r="P35" s="22" t="s">
        <v>565</v>
      </c>
      <c r="Q35" s="22" t="s">
        <v>535</v>
      </c>
      <c r="R35" s="23" t="s">
        <v>658</v>
      </c>
      <c r="S35" s="22" t="s">
        <v>133</v>
      </c>
      <c r="T35" s="22" t="s">
        <v>746</v>
      </c>
      <c r="U35" s="31">
        <v>45957</v>
      </c>
      <c r="V35" s="26"/>
      <c r="W35" s="21"/>
      <c r="X35" s="21"/>
    </row>
    <row r="36" spans="1:24" ht="30.6">
      <c r="A36" s="23" t="s">
        <v>471</v>
      </c>
      <c r="B36" s="22" t="s">
        <v>783</v>
      </c>
      <c r="C36" s="23" t="s">
        <v>792</v>
      </c>
      <c r="D36" s="23" t="s">
        <v>307</v>
      </c>
      <c r="E36" s="22" t="s">
        <v>208</v>
      </c>
      <c r="F36" s="30" t="s">
        <v>346</v>
      </c>
      <c r="G36" s="23"/>
      <c r="H36" s="30" t="s">
        <v>347</v>
      </c>
      <c r="I36" s="23"/>
      <c r="J36" s="22" t="s">
        <v>261</v>
      </c>
      <c r="K36" s="22" t="s">
        <v>209</v>
      </c>
      <c r="L36" s="23" t="s">
        <v>121</v>
      </c>
      <c r="M36" s="23" t="s">
        <v>124</v>
      </c>
      <c r="N36" s="23" t="s">
        <v>41</v>
      </c>
      <c r="O36" s="22" t="s">
        <v>273</v>
      </c>
      <c r="P36" s="22" t="s">
        <v>310</v>
      </c>
      <c r="Q36" s="22" t="s">
        <v>348</v>
      </c>
      <c r="R36" s="22" t="s">
        <v>659</v>
      </c>
      <c r="S36" s="22" t="s">
        <v>133</v>
      </c>
      <c r="T36" s="22" t="s">
        <v>746</v>
      </c>
      <c r="U36" s="31">
        <v>45957</v>
      </c>
      <c r="V36" s="26"/>
      <c r="W36" s="21"/>
      <c r="X36" s="21"/>
    </row>
    <row r="37" spans="1:24" ht="61.2">
      <c r="A37" s="23" t="s">
        <v>472</v>
      </c>
      <c r="B37" s="22" t="s">
        <v>783</v>
      </c>
      <c r="C37" s="23" t="s">
        <v>784</v>
      </c>
      <c r="D37" s="23" t="s">
        <v>791</v>
      </c>
      <c r="E37" s="22" t="s">
        <v>349</v>
      </c>
      <c r="F37" s="30" t="s">
        <v>350</v>
      </c>
      <c r="G37" s="23"/>
      <c r="H37" s="30" t="s">
        <v>351</v>
      </c>
      <c r="I37" s="23"/>
      <c r="J37" s="22" t="s">
        <v>352</v>
      </c>
      <c r="K37" s="22" t="s">
        <v>332</v>
      </c>
      <c r="L37" s="23" t="s">
        <v>121</v>
      </c>
      <c r="M37" s="23" t="s">
        <v>124</v>
      </c>
      <c r="N37" s="23" t="s">
        <v>41</v>
      </c>
      <c r="O37" s="22" t="s">
        <v>273</v>
      </c>
      <c r="P37" s="22"/>
      <c r="Q37" s="22" t="s">
        <v>374</v>
      </c>
      <c r="R37" s="22" t="s">
        <v>659</v>
      </c>
      <c r="S37" s="22" t="s">
        <v>133</v>
      </c>
      <c r="T37" s="22" t="s">
        <v>746</v>
      </c>
      <c r="U37" s="31">
        <v>45957</v>
      </c>
      <c r="V37" s="26"/>
      <c r="W37" s="21"/>
      <c r="X37" s="21"/>
    </row>
    <row r="38" spans="1:24" ht="30.6">
      <c r="A38" s="23" t="s">
        <v>785</v>
      </c>
      <c r="B38" s="22" t="s">
        <v>783</v>
      </c>
      <c r="C38" s="23" t="s">
        <v>793</v>
      </c>
      <c r="D38" s="23" t="s">
        <v>307</v>
      </c>
      <c r="E38" s="22" t="s">
        <v>339</v>
      </c>
      <c r="F38" s="30" t="s">
        <v>353</v>
      </c>
      <c r="G38" s="23"/>
      <c r="H38" s="30" t="s">
        <v>354</v>
      </c>
      <c r="I38" s="23"/>
      <c r="J38" s="22" t="s">
        <v>261</v>
      </c>
      <c r="K38" s="22" t="s">
        <v>304</v>
      </c>
      <c r="L38" s="23" t="s">
        <v>121</v>
      </c>
      <c r="M38" s="23" t="s">
        <v>124</v>
      </c>
      <c r="N38" s="23" t="s">
        <v>41</v>
      </c>
      <c r="O38" s="22" t="s">
        <v>273</v>
      </c>
      <c r="P38" s="22" t="s">
        <v>310</v>
      </c>
      <c r="Q38" s="22" t="s">
        <v>355</v>
      </c>
      <c r="R38" s="22" t="s">
        <v>659</v>
      </c>
      <c r="S38" s="22" t="s">
        <v>133</v>
      </c>
      <c r="T38" s="22" t="s">
        <v>746</v>
      </c>
      <c r="U38" s="31">
        <v>45957</v>
      </c>
      <c r="V38" s="26"/>
      <c r="W38" s="21"/>
      <c r="X38" s="21"/>
    </row>
    <row r="39" spans="1:24" ht="30.6">
      <c r="A39" s="23" t="s">
        <v>786</v>
      </c>
      <c r="B39" s="22" t="s">
        <v>783</v>
      </c>
      <c r="C39" s="23" t="s">
        <v>794</v>
      </c>
      <c r="D39" s="23" t="s">
        <v>802</v>
      </c>
      <c r="E39" s="22" t="s">
        <v>335</v>
      </c>
      <c r="F39" s="30" t="s">
        <v>356</v>
      </c>
      <c r="G39" s="23"/>
      <c r="H39" s="30" t="s">
        <v>357</v>
      </c>
      <c r="I39" s="23"/>
      <c r="J39" s="22" t="s">
        <v>352</v>
      </c>
      <c r="K39" s="22" t="s">
        <v>304</v>
      </c>
      <c r="L39" s="23" t="s">
        <v>121</v>
      </c>
      <c r="M39" s="23" t="s">
        <v>124</v>
      </c>
      <c r="N39" s="23" t="s">
        <v>41</v>
      </c>
      <c r="O39" s="22" t="s">
        <v>273</v>
      </c>
      <c r="P39" s="22"/>
      <c r="Q39" s="22" t="s">
        <v>373</v>
      </c>
      <c r="R39" s="22" t="s">
        <v>659</v>
      </c>
      <c r="S39" s="22" t="s">
        <v>133</v>
      </c>
      <c r="T39" s="22" t="s">
        <v>746</v>
      </c>
      <c r="U39" s="31">
        <v>45957</v>
      </c>
      <c r="V39" s="26"/>
      <c r="W39" s="21"/>
      <c r="X39" s="21"/>
    </row>
    <row r="40" spans="1:24" ht="30.6">
      <c r="A40" s="23" t="s">
        <v>787</v>
      </c>
      <c r="B40" s="22" t="s">
        <v>783</v>
      </c>
      <c r="C40" s="23" t="s">
        <v>795</v>
      </c>
      <c r="D40" s="23" t="s">
        <v>801</v>
      </c>
      <c r="E40" s="22" t="s">
        <v>358</v>
      </c>
      <c r="F40" s="30" t="s">
        <v>359</v>
      </c>
      <c r="G40" s="23"/>
      <c r="H40" s="30" t="s">
        <v>360</v>
      </c>
      <c r="I40" s="23"/>
      <c r="J40" s="22" t="s">
        <v>261</v>
      </c>
      <c r="K40" s="22" t="s">
        <v>209</v>
      </c>
      <c r="L40" s="23" t="s">
        <v>121</v>
      </c>
      <c r="M40" s="23" t="s">
        <v>124</v>
      </c>
      <c r="N40" s="23" t="s">
        <v>41</v>
      </c>
      <c r="O40" s="22" t="s">
        <v>273</v>
      </c>
      <c r="P40" s="22" t="s">
        <v>310</v>
      </c>
      <c r="Q40" s="22" t="s">
        <v>361</v>
      </c>
      <c r="R40" s="22" t="s">
        <v>659</v>
      </c>
      <c r="S40" s="22" t="s">
        <v>133</v>
      </c>
      <c r="T40" s="22" t="s">
        <v>746</v>
      </c>
      <c r="U40" s="31">
        <v>45957</v>
      </c>
      <c r="V40" s="26"/>
      <c r="W40" s="21"/>
      <c r="X40" s="21"/>
    </row>
    <row r="41" spans="1:24" ht="30.6">
      <c r="A41" s="23" t="s">
        <v>788</v>
      </c>
      <c r="B41" s="22" t="s">
        <v>783</v>
      </c>
      <c r="C41" s="23" t="s">
        <v>796</v>
      </c>
      <c r="D41" s="23" t="s">
        <v>312</v>
      </c>
      <c r="E41" s="22" t="s">
        <v>313</v>
      </c>
      <c r="F41" s="30" t="s">
        <v>314</v>
      </c>
      <c r="G41" s="23"/>
      <c r="H41" s="30" t="s">
        <v>362</v>
      </c>
      <c r="I41" s="23"/>
      <c r="J41" s="22" t="s">
        <v>352</v>
      </c>
      <c r="K41" s="22" t="s">
        <v>363</v>
      </c>
      <c r="L41" s="23" t="s">
        <v>121</v>
      </c>
      <c r="M41" s="23" t="s">
        <v>124</v>
      </c>
      <c r="N41" s="23" t="s">
        <v>41</v>
      </c>
      <c r="O41" s="22" t="s">
        <v>273</v>
      </c>
      <c r="P41" s="22"/>
      <c r="Q41" s="22" t="s">
        <v>371</v>
      </c>
      <c r="R41" s="22" t="s">
        <v>659</v>
      </c>
      <c r="S41" s="22" t="s">
        <v>133</v>
      </c>
      <c r="T41" s="22" t="s">
        <v>746</v>
      </c>
      <c r="U41" s="31">
        <v>45957</v>
      </c>
      <c r="V41" s="26"/>
      <c r="W41" s="21"/>
      <c r="X41" s="21"/>
    </row>
    <row r="42" spans="1:24" ht="40.799999999999997">
      <c r="A42" s="23" t="s">
        <v>789</v>
      </c>
      <c r="B42" s="22" t="s">
        <v>783</v>
      </c>
      <c r="C42" s="23" t="s">
        <v>797</v>
      </c>
      <c r="D42" s="23" t="s">
        <v>800</v>
      </c>
      <c r="E42" s="22" t="s">
        <v>364</v>
      </c>
      <c r="F42" s="30" t="s">
        <v>365</v>
      </c>
      <c r="G42" s="23"/>
      <c r="H42" s="30" t="s">
        <v>366</v>
      </c>
      <c r="I42" s="23"/>
      <c r="J42" s="22" t="s">
        <v>779</v>
      </c>
      <c r="K42" s="22" t="s">
        <v>209</v>
      </c>
      <c r="L42" s="23" t="s">
        <v>183</v>
      </c>
      <c r="M42" s="23" t="s">
        <v>124</v>
      </c>
      <c r="N42" s="23" t="s">
        <v>41</v>
      </c>
      <c r="O42" s="22" t="s">
        <v>273</v>
      </c>
      <c r="P42" s="22"/>
      <c r="Q42" s="22" t="s">
        <v>372</v>
      </c>
      <c r="R42" s="22" t="s">
        <v>659</v>
      </c>
      <c r="S42" s="22" t="s">
        <v>133</v>
      </c>
      <c r="T42" s="22" t="s">
        <v>746</v>
      </c>
      <c r="U42" s="31">
        <v>45957</v>
      </c>
      <c r="V42" s="26"/>
      <c r="W42" s="21"/>
      <c r="X42" s="21"/>
    </row>
    <row r="43" spans="1:24" ht="40.799999999999997">
      <c r="A43" s="23" t="s">
        <v>790</v>
      </c>
      <c r="B43" s="22" t="s">
        <v>783</v>
      </c>
      <c r="C43" s="23" t="s">
        <v>798</v>
      </c>
      <c r="D43" s="23" t="s">
        <v>799</v>
      </c>
      <c r="E43" s="22" t="s">
        <v>367</v>
      </c>
      <c r="F43" s="30" t="s">
        <v>368</v>
      </c>
      <c r="G43" s="23"/>
      <c r="H43" s="30" t="s">
        <v>369</v>
      </c>
      <c r="I43" s="23"/>
      <c r="J43" s="22" t="s">
        <v>780</v>
      </c>
      <c r="K43" s="22" t="s">
        <v>370</v>
      </c>
      <c r="L43" s="23" t="s">
        <v>183</v>
      </c>
      <c r="M43" s="23" t="s">
        <v>124</v>
      </c>
      <c r="N43" s="23" t="s">
        <v>41</v>
      </c>
      <c r="O43" s="22" t="s">
        <v>273</v>
      </c>
      <c r="P43" s="22"/>
      <c r="Q43" s="22" t="s">
        <v>372</v>
      </c>
      <c r="R43" s="22" t="s">
        <v>659</v>
      </c>
      <c r="S43" s="22" t="s">
        <v>133</v>
      </c>
      <c r="T43" s="22" t="s">
        <v>746</v>
      </c>
      <c r="U43" s="31">
        <v>45957</v>
      </c>
      <c r="V43" s="26"/>
      <c r="W43" s="21"/>
      <c r="X43" s="21"/>
    </row>
    <row r="44" spans="1:24">
      <c r="A44" s="22"/>
      <c r="B44" s="22"/>
      <c r="C44" s="22"/>
      <c r="D44" s="22"/>
      <c r="E44" s="22"/>
      <c r="F44" s="22"/>
      <c r="G44" s="22"/>
      <c r="H44" s="22"/>
      <c r="I44" s="22"/>
      <c r="J44" s="22"/>
      <c r="K44" s="22"/>
      <c r="L44" s="22"/>
      <c r="M44" s="22"/>
      <c r="N44" s="22"/>
      <c r="O44" s="22"/>
      <c r="P44" s="22"/>
      <c r="Q44" s="22"/>
      <c r="R44" s="22"/>
      <c r="S44" s="22"/>
      <c r="T44" s="22"/>
      <c r="U44" s="22"/>
      <c r="V44" s="26"/>
    </row>
    <row r="45" spans="1:24">
      <c r="A45" s="22"/>
      <c r="B45" s="22"/>
      <c r="C45" s="22"/>
      <c r="D45" s="22"/>
      <c r="E45" s="22"/>
      <c r="F45" s="22"/>
      <c r="G45" s="22"/>
      <c r="H45" s="22"/>
      <c r="I45" s="22"/>
      <c r="J45" s="22"/>
      <c r="K45" s="22"/>
      <c r="L45" s="22"/>
      <c r="M45" s="22"/>
      <c r="N45" s="22"/>
      <c r="O45" s="22"/>
      <c r="P45" s="22"/>
      <c r="Q45" s="22"/>
      <c r="R45" s="22"/>
      <c r="S45" s="22"/>
      <c r="T45" s="22"/>
      <c r="U45" s="22"/>
      <c r="V45" s="26"/>
    </row>
    <row r="46" spans="1:24">
      <c r="A46" s="22"/>
      <c r="B46" s="22"/>
      <c r="C46" s="22"/>
      <c r="D46" s="22"/>
      <c r="E46" s="22"/>
      <c r="F46" s="22"/>
      <c r="G46" s="22"/>
      <c r="H46" s="22"/>
      <c r="I46" s="22"/>
      <c r="J46" s="22"/>
      <c r="K46" s="22"/>
      <c r="L46" s="22"/>
      <c r="M46" s="22"/>
      <c r="N46" s="22"/>
      <c r="O46" s="22"/>
      <c r="P46" s="22"/>
      <c r="Q46" s="22"/>
      <c r="R46" s="22"/>
      <c r="S46" s="22"/>
      <c r="T46" s="22"/>
      <c r="U46" s="22"/>
      <c r="V46" s="26"/>
    </row>
    <row r="47" spans="1:24">
      <c r="A47" s="22"/>
      <c r="B47" s="22"/>
      <c r="C47" s="22"/>
      <c r="D47" s="22"/>
      <c r="E47" s="22"/>
      <c r="F47" s="22"/>
      <c r="G47" s="22"/>
      <c r="H47" s="22"/>
      <c r="I47" s="22"/>
      <c r="J47" s="22"/>
      <c r="K47" s="22"/>
      <c r="L47" s="22"/>
      <c r="M47" s="22"/>
      <c r="N47" s="22"/>
      <c r="O47" s="22"/>
      <c r="P47" s="22"/>
      <c r="Q47" s="22"/>
      <c r="R47" s="22"/>
      <c r="S47" s="22"/>
      <c r="T47" s="22"/>
      <c r="U47" s="22"/>
      <c r="V47" s="26"/>
    </row>
    <row r="48" spans="1:24">
      <c r="A48" s="22"/>
      <c r="B48" s="22"/>
      <c r="C48" s="22"/>
      <c r="D48" s="22"/>
      <c r="E48" s="22"/>
      <c r="F48" s="22"/>
      <c r="G48" s="22"/>
      <c r="H48" s="22"/>
      <c r="I48" s="22"/>
      <c r="J48" s="22"/>
      <c r="K48" s="22"/>
      <c r="L48" s="22"/>
      <c r="M48" s="22"/>
      <c r="N48" s="22"/>
      <c r="O48" s="22"/>
      <c r="P48" s="22"/>
      <c r="Q48" s="22"/>
      <c r="R48" s="22"/>
      <c r="S48" s="22"/>
      <c r="T48" s="22"/>
      <c r="U48" s="22"/>
      <c r="V48" s="26"/>
    </row>
    <row r="49" spans="1:22">
      <c r="A49" s="22"/>
      <c r="B49" s="22"/>
      <c r="C49" s="22"/>
      <c r="D49" s="22"/>
      <c r="E49" s="22"/>
      <c r="F49" s="22"/>
      <c r="G49" s="22"/>
      <c r="H49" s="22"/>
      <c r="I49" s="22"/>
      <c r="J49" s="22"/>
      <c r="K49" s="22"/>
      <c r="L49" s="22"/>
      <c r="M49" s="22"/>
      <c r="N49" s="22"/>
      <c r="O49" s="22"/>
      <c r="P49" s="22"/>
      <c r="Q49" s="22"/>
      <c r="R49" s="22"/>
      <c r="S49" s="22"/>
      <c r="T49" s="22"/>
      <c r="U49" s="22"/>
      <c r="V49" s="26"/>
    </row>
    <row r="50" spans="1:22">
      <c r="A50" s="25"/>
      <c r="B50" s="15"/>
      <c r="C50" s="25"/>
      <c r="D50" s="25"/>
      <c r="E50" s="8"/>
      <c r="F50" s="28"/>
      <c r="G50" s="25"/>
      <c r="H50" s="28"/>
      <c r="I50" s="25"/>
      <c r="J50" s="8"/>
      <c r="K50" s="8"/>
      <c r="L50" s="25"/>
      <c r="M50" s="25"/>
      <c r="N50" s="25"/>
      <c r="O50" s="8"/>
      <c r="P50" s="8"/>
      <c r="Q50" s="8"/>
      <c r="R50" s="25"/>
      <c r="S50" s="8"/>
      <c r="T50" s="8"/>
      <c r="U50" s="29"/>
    </row>
    <row r="51" spans="1:22" ht="14.4">
      <c r="A51" s="1"/>
      <c r="B51" s="1"/>
      <c r="C51" s="1"/>
      <c r="D51" s="1"/>
      <c r="E51" s="1"/>
      <c r="F51" s="2"/>
      <c r="G51" s="21"/>
      <c r="H51" s="21"/>
      <c r="I51" s="21"/>
      <c r="J51" s="21"/>
      <c r="K51" s="21"/>
      <c r="L51" s="1"/>
      <c r="M51" s="1"/>
      <c r="N51" s="1"/>
    </row>
    <row r="52" spans="1:22" ht="14.4">
      <c r="A52" s="1"/>
      <c r="B52" s="1"/>
      <c r="C52" s="1"/>
      <c r="D52" s="1"/>
      <c r="E52" s="1"/>
      <c r="F52" s="2"/>
      <c r="G52" s="21"/>
      <c r="H52" s="21"/>
      <c r="I52" s="21"/>
      <c r="J52" s="21"/>
      <c r="K52" s="21"/>
      <c r="L52" s="1"/>
      <c r="M52" s="1"/>
      <c r="N52" s="1"/>
    </row>
    <row r="53" spans="1:22" ht="14.4">
      <c r="A53" s="1"/>
      <c r="B53" s="1"/>
      <c r="C53" s="21"/>
      <c r="D53" s="21"/>
      <c r="E53" s="21"/>
      <c r="F53" s="2"/>
      <c r="G53" s="21"/>
      <c r="H53" s="21"/>
      <c r="I53" s="21"/>
      <c r="J53" s="21"/>
      <c r="K53" s="21"/>
      <c r="L53" s="1"/>
      <c r="M53" s="1"/>
      <c r="N53" s="1"/>
    </row>
    <row r="54" spans="1:22" ht="14.4">
      <c r="A54" s="1"/>
      <c r="B54" s="1"/>
      <c r="C54" s="21"/>
      <c r="D54" s="21"/>
      <c r="E54" s="21"/>
      <c r="F54" s="2"/>
      <c r="G54" s="21"/>
      <c r="H54" s="21"/>
      <c r="I54" s="21"/>
      <c r="J54" s="21"/>
      <c r="K54" s="21"/>
      <c r="L54" s="1"/>
      <c r="M54" s="1"/>
      <c r="N54" s="1"/>
    </row>
    <row r="55" spans="1:22" ht="14.4">
      <c r="A55" s="1"/>
      <c r="B55" s="1"/>
      <c r="C55" s="21"/>
      <c r="D55" s="21"/>
      <c r="E55" s="21"/>
      <c r="F55" s="2"/>
      <c r="G55" s="21"/>
      <c r="H55" s="21"/>
      <c r="I55" s="21"/>
      <c r="J55" s="21"/>
      <c r="K55" s="21"/>
      <c r="L55" s="1"/>
      <c r="M55" s="1"/>
      <c r="N55" s="1"/>
    </row>
    <row r="56" spans="1:22" ht="14.4">
      <c r="A56" s="1"/>
      <c r="B56" s="1"/>
      <c r="C56" s="21"/>
      <c r="D56" s="21"/>
      <c r="E56" s="21"/>
      <c r="F56" s="2"/>
      <c r="G56" s="21"/>
      <c r="H56" s="21"/>
      <c r="I56" s="21"/>
      <c r="J56" s="21"/>
      <c r="K56" s="21"/>
      <c r="L56" s="1"/>
      <c r="M56" s="1"/>
      <c r="N56" s="1"/>
    </row>
    <row r="57" spans="1:22" ht="14.4">
      <c r="A57" s="1"/>
      <c r="B57" s="1"/>
      <c r="C57" s="21"/>
      <c r="D57" s="21"/>
      <c r="E57" s="21"/>
      <c r="F57" s="2"/>
      <c r="G57" s="21"/>
      <c r="H57" s="21"/>
      <c r="I57" s="21"/>
      <c r="J57" s="21"/>
      <c r="K57" s="21"/>
      <c r="L57" s="1"/>
      <c r="M57" s="1"/>
      <c r="N57" s="1"/>
    </row>
    <row r="58" spans="1:22" ht="14.4">
      <c r="A58" s="1"/>
      <c r="B58" s="1"/>
      <c r="C58" s="21"/>
      <c r="D58" s="21"/>
      <c r="E58" s="21"/>
      <c r="F58" s="2"/>
      <c r="G58" s="21"/>
      <c r="H58" s="21"/>
      <c r="I58" s="21"/>
      <c r="J58" s="21"/>
      <c r="K58" s="21"/>
      <c r="L58" s="1"/>
      <c r="M58" s="1"/>
      <c r="N58" s="1"/>
    </row>
    <row r="59" spans="1:22" ht="14.4">
      <c r="A59" s="1"/>
      <c r="B59" s="1"/>
      <c r="C59" s="21"/>
      <c r="D59" s="21"/>
      <c r="E59" s="21"/>
      <c r="F59" s="2"/>
      <c r="G59" s="21"/>
      <c r="H59" s="21"/>
      <c r="I59" s="21"/>
      <c r="J59" s="21"/>
      <c r="K59" s="21"/>
      <c r="L59" s="1"/>
      <c r="M59" s="1"/>
      <c r="N59" s="1"/>
    </row>
    <row r="60" spans="1:22" ht="14.4">
      <c r="A60" s="1"/>
      <c r="B60" s="1"/>
      <c r="C60" s="21"/>
      <c r="D60" s="21"/>
      <c r="E60" s="21"/>
      <c r="F60" s="2"/>
      <c r="G60" s="21"/>
      <c r="H60" s="21"/>
      <c r="I60" s="21"/>
      <c r="J60" s="21"/>
      <c r="K60" s="21"/>
      <c r="L60" s="1"/>
      <c r="M60" s="1"/>
      <c r="N60" s="1"/>
    </row>
    <row r="61" spans="1:22" ht="14.4">
      <c r="A61" s="1"/>
      <c r="B61" s="1"/>
      <c r="C61" s="21"/>
      <c r="D61" s="21"/>
      <c r="E61" s="21"/>
      <c r="F61" s="2"/>
      <c r="G61" s="21"/>
      <c r="H61" s="21"/>
      <c r="I61" s="21"/>
      <c r="J61" s="21"/>
      <c r="K61" s="21"/>
      <c r="L61" s="1"/>
      <c r="M61" s="1"/>
      <c r="N61" s="1"/>
    </row>
    <row r="62" spans="1:22" ht="14.4">
      <c r="A62" s="1"/>
      <c r="B62" s="1"/>
      <c r="C62" s="1"/>
      <c r="D62" s="1"/>
      <c r="E62" s="1"/>
      <c r="F62" s="2"/>
      <c r="G62" s="21"/>
      <c r="H62" s="21"/>
      <c r="I62" s="21"/>
      <c r="J62" s="21"/>
      <c r="K62" s="21"/>
      <c r="L62" s="1"/>
      <c r="M62" s="1"/>
      <c r="N62" s="1"/>
    </row>
    <row r="63" spans="1:22" ht="14.4">
      <c r="A63" s="1"/>
      <c r="B63" s="1"/>
      <c r="C63" s="1"/>
      <c r="D63" s="1"/>
      <c r="E63" s="1"/>
      <c r="F63" s="2"/>
      <c r="G63" s="21"/>
      <c r="H63" s="21"/>
      <c r="I63" s="21"/>
      <c r="J63" s="21"/>
      <c r="K63" s="21"/>
      <c r="L63" s="1"/>
      <c r="M63" s="1"/>
      <c r="N63" s="1"/>
    </row>
    <row r="64" spans="1:22" ht="14.4">
      <c r="A64" s="1"/>
      <c r="B64" s="1"/>
      <c r="C64" s="1"/>
      <c r="D64" s="1"/>
      <c r="E64" s="1"/>
      <c r="F64" s="2"/>
      <c r="G64" s="21"/>
      <c r="H64" s="21"/>
      <c r="I64" s="21"/>
      <c r="J64" s="21"/>
      <c r="K64" s="21"/>
      <c r="L64" s="1"/>
      <c r="M64" s="1"/>
      <c r="N64" s="1"/>
    </row>
    <row r="65" spans="1:17" ht="14.4">
      <c r="A65" s="1"/>
      <c r="B65" s="1"/>
      <c r="C65" s="1"/>
      <c r="D65" s="1"/>
      <c r="E65" s="1"/>
      <c r="F65" s="2"/>
      <c r="G65" s="21"/>
      <c r="H65" s="21"/>
      <c r="I65" s="21"/>
      <c r="J65" s="21"/>
      <c r="K65" s="21"/>
      <c r="L65" s="1"/>
      <c r="M65" s="1"/>
      <c r="N65" s="1"/>
    </row>
    <row r="66" spans="1:17" ht="14.4">
      <c r="A66" s="1"/>
      <c r="B66" s="1"/>
      <c r="C66" s="1"/>
      <c r="D66" s="1"/>
      <c r="E66" s="1"/>
      <c r="F66" s="2"/>
      <c r="G66" s="21"/>
      <c r="H66" s="21"/>
      <c r="I66" s="21"/>
      <c r="J66" s="21"/>
      <c r="K66" s="21"/>
      <c r="L66" s="1"/>
      <c r="M66" s="1"/>
      <c r="N66" s="1"/>
    </row>
    <row r="67" spans="1:17" ht="14.4">
      <c r="A67" s="1"/>
      <c r="B67" s="1"/>
      <c r="C67" s="1"/>
      <c r="D67" s="1"/>
      <c r="E67" s="1"/>
      <c r="F67" s="2"/>
      <c r="G67" s="21"/>
      <c r="H67" s="21"/>
      <c r="I67" s="21"/>
      <c r="J67" s="21"/>
      <c r="K67" s="21"/>
      <c r="L67" s="1"/>
      <c r="M67" s="1"/>
      <c r="N67" s="1"/>
    </row>
    <row r="68" spans="1:17" ht="14.4">
      <c r="A68" s="1"/>
      <c r="B68" s="1"/>
      <c r="C68" s="1"/>
      <c r="D68" s="1"/>
      <c r="E68" s="1"/>
      <c r="F68" s="2"/>
      <c r="G68" s="21"/>
      <c r="H68" s="21"/>
      <c r="I68" s="21"/>
      <c r="J68" s="21"/>
      <c r="K68" s="21"/>
      <c r="L68" s="1"/>
      <c r="M68" s="1"/>
      <c r="N68" s="1"/>
    </row>
    <row r="69" spans="1:17" ht="14.4">
      <c r="A69" s="1"/>
      <c r="B69" s="1"/>
      <c r="C69" s="1"/>
      <c r="D69" s="1"/>
      <c r="E69" s="1"/>
      <c r="F69" s="2"/>
      <c r="G69" s="21"/>
      <c r="H69" s="21"/>
      <c r="I69" s="21"/>
      <c r="J69" s="21"/>
      <c r="K69" s="21"/>
      <c r="L69" s="1"/>
      <c r="M69" s="1"/>
      <c r="N69" s="1"/>
    </row>
    <row r="70" spans="1:17" ht="14.4">
      <c r="A70" s="1"/>
      <c r="B70" s="1"/>
      <c r="C70" s="1"/>
      <c r="D70" s="1"/>
      <c r="E70" s="1"/>
      <c r="F70" s="2"/>
      <c r="G70" s="21"/>
      <c r="H70" s="21"/>
      <c r="I70" s="21"/>
      <c r="J70" s="21"/>
      <c r="K70" s="21"/>
      <c r="L70" s="1"/>
      <c r="M70" s="1"/>
      <c r="N70" s="1"/>
    </row>
    <row r="71" spans="1:17" ht="14.4">
      <c r="A71" s="1"/>
      <c r="B71" s="1"/>
      <c r="C71" s="1"/>
      <c r="D71" s="1"/>
      <c r="E71" s="1"/>
      <c r="F71" s="2"/>
      <c r="G71" s="21"/>
      <c r="H71" s="21"/>
      <c r="I71" s="21"/>
      <c r="J71" s="21"/>
      <c r="K71" s="21"/>
      <c r="L71" s="1"/>
      <c r="M71" s="1"/>
      <c r="N71" s="1"/>
    </row>
    <row r="72" spans="1:17" ht="14.4">
      <c r="A72" s="1"/>
      <c r="B72" s="1"/>
      <c r="C72" s="1"/>
      <c r="D72" s="1"/>
      <c r="E72" s="1"/>
      <c r="F72" s="2"/>
      <c r="G72" s="21"/>
      <c r="H72" s="21"/>
      <c r="I72" s="21"/>
      <c r="J72" s="21"/>
      <c r="K72" s="21"/>
      <c r="L72" s="1"/>
      <c r="M72" s="1"/>
      <c r="N72" s="1"/>
    </row>
    <row r="73" spans="1:17" ht="14.4">
      <c r="A73" s="1"/>
      <c r="B73" s="1"/>
      <c r="C73" s="1"/>
      <c r="D73" s="1"/>
      <c r="E73" s="1"/>
      <c r="F73" s="2"/>
      <c r="G73" s="21"/>
      <c r="H73" s="21"/>
      <c r="I73" s="21"/>
      <c r="J73" s="21"/>
      <c r="K73" s="21"/>
      <c r="L73" s="1"/>
      <c r="M73" s="1"/>
      <c r="N73" s="1"/>
    </row>
    <row r="74" spans="1:17" ht="14.4">
      <c r="A74" s="1"/>
      <c r="B74" s="1"/>
      <c r="C74" s="1"/>
      <c r="D74" s="1"/>
      <c r="E74" s="1"/>
      <c r="F74" s="2"/>
      <c r="G74" s="21"/>
      <c r="H74" s="21"/>
      <c r="I74" s="21"/>
      <c r="J74" s="21"/>
      <c r="K74" s="21"/>
      <c r="L74" s="1"/>
      <c r="M74" s="1"/>
      <c r="N74" s="1"/>
    </row>
    <row r="75" spans="1:17" ht="14.4">
      <c r="A75" s="1"/>
      <c r="B75" s="1"/>
      <c r="C75" s="1"/>
      <c r="D75" s="1"/>
      <c r="E75" s="1"/>
      <c r="F75" s="2"/>
      <c r="G75" s="21"/>
      <c r="H75" s="21"/>
      <c r="I75" s="21"/>
      <c r="J75" s="21"/>
      <c r="K75" s="21"/>
      <c r="L75" s="1"/>
      <c r="M75" s="1"/>
      <c r="N75" s="1"/>
    </row>
    <row r="76" spans="1:17" ht="14.4">
      <c r="A76" s="1"/>
      <c r="B76" s="1"/>
      <c r="C76" s="1"/>
      <c r="D76" s="1"/>
      <c r="E76" s="1"/>
      <c r="F76" s="2"/>
      <c r="G76" s="21"/>
      <c r="H76" s="21"/>
      <c r="I76" s="21"/>
      <c r="J76" s="21"/>
      <c r="K76" s="21"/>
      <c r="L76" s="1"/>
      <c r="M76" s="1"/>
      <c r="N76" s="1"/>
    </row>
    <row r="77" spans="1:17" ht="14.4">
      <c r="A77" s="1"/>
      <c r="B77" s="1"/>
      <c r="C77" s="1"/>
      <c r="D77" s="1"/>
      <c r="E77" s="1"/>
      <c r="F77" s="2"/>
      <c r="G77" s="21"/>
      <c r="H77" s="21"/>
      <c r="I77" s="21"/>
      <c r="J77" s="21"/>
      <c r="K77" s="21"/>
      <c r="L77" s="1"/>
      <c r="M77" s="1"/>
      <c r="N77" s="1"/>
    </row>
    <row r="78" spans="1:17" ht="14.4">
      <c r="A78" s="1"/>
      <c r="B78" s="1"/>
      <c r="C78" s="1"/>
      <c r="D78" s="1"/>
      <c r="E78" s="1"/>
      <c r="F78" s="2"/>
      <c r="G78" s="21"/>
      <c r="H78" s="21"/>
      <c r="I78" s="21"/>
      <c r="J78" s="21"/>
      <c r="K78" s="21"/>
      <c r="L78" s="1"/>
      <c r="M78" s="1"/>
      <c r="N78" s="1"/>
    </row>
    <row r="79" spans="1:17" ht="14.4">
      <c r="A79" s="1"/>
      <c r="B79" s="1"/>
      <c r="C79" s="1"/>
      <c r="D79" s="1"/>
      <c r="E79" s="1"/>
      <c r="F79" s="2"/>
      <c r="G79" s="21"/>
      <c r="H79" s="21"/>
      <c r="I79" s="21"/>
      <c r="J79" s="21"/>
      <c r="K79" s="21"/>
      <c r="L79" s="1"/>
      <c r="M79" s="1"/>
      <c r="N79" s="1"/>
      <c r="O79" s="1"/>
      <c r="P79" s="1"/>
      <c r="Q79" s="1"/>
    </row>
    <row r="80" spans="1:17" ht="14.4">
      <c r="A80" s="1"/>
      <c r="B80" s="1"/>
      <c r="C80" s="1"/>
      <c r="D80" s="1"/>
      <c r="E80" s="1"/>
      <c r="F80" s="2"/>
      <c r="G80" s="21"/>
      <c r="H80" s="21"/>
      <c r="I80" s="21"/>
      <c r="J80" s="21"/>
      <c r="K80" s="21"/>
      <c r="L80" s="1"/>
      <c r="M80" s="1"/>
      <c r="N80" s="1"/>
      <c r="O80" s="1"/>
      <c r="P80" s="1"/>
      <c r="Q80" s="1"/>
    </row>
    <row r="81" spans="1:17" ht="14.4">
      <c r="A81" s="1"/>
      <c r="B81" s="1"/>
      <c r="C81" s="1"/>
      <c r="D81" s="1"/>
      <c r="E81" s="1"/>
      <c r="F81" s="2"/>
      <c r="G81" s="21"/>
      <c r="H81" s="21"/>
      <c r="I81" s="21"/>
      <c r="J81" s="21"/>
      <c r="K81" s="21"/>
      <c r="L81" s="1"/>
      <c r="M81" s="1"/>
      <c r="N81" s="1"/>
      <c r="O81" s="1"/>
      <c r="P81" s="1"/>
      <c r="Q81" s="1"/>
    </row>
    <row r="82" spans="1:17" ht="14.4">
      <c r="A82" s="1"/>
      <c r="B82" s="1"/>
      <c r="C82" s="1"/>
      <c r="D82" s="1"/>
      <c r="E82" s="1"/>
      <c r="F82" s="2"/>
      <c r="G82" s="21"/>
      <c r="H82" s="21"/>
      <c r="I82" s="21"/>
      <c r="J82" s="21"/>
      <c r="K82" s="1"/>
      <c r="L82" s="1"/>
      <c r="M82" s="1"/>
      <c r="N82" s="1"/>
      <c r="O82" s="1"/>
      <c r="P82" s="1"/>
      <c r="Q82" s="1"/>
    </row>
    <row r="83" spans="1:17">
      <c r="A83" s="1"/>
      <c r="B83" s="1"/>
      <c r="C83" s="1"/>
      <c r="D83" s="1"/>
      <c r="E83" s="1"/>
      <c r="F83" s="2"/>
      <c r="G83" s="1"/>
      <c r="H83" s="1"/>
      <c r="I83" s="1"/>
      <c r="J83" s="1"/>
      <c r="K83" s="1"/>
      <c r="L83" s="1"/>
      <c r="M83" s="1"/>
      <c r="N83" s="1"/>
      <c r="O83" s="1"/>
      <c r="P83" s="1"/>
      <c r="Q83" s="1"/>
    </row>
    <row r="84" spans="1:17">
      <c r="A84" s="1"/>
      <c r="B84" s="1"/>
      <c r="C84" s="1"/>
      <c r="D84" s="1"/>
      <c r="E84" s="1"/>
      <c r="F84" s="2"/>
      <c r="G84" s="1"/>
      <c r="H84" s="1"/>
      <c r="I84" s="1"/>
      <c r="J84" s="1"/>
      <c r="K84" s="1"/>
      <c r="L84" s="1"/>
      <c r="M84" s="1"/>
      <c r="N84" s="1"/>
      <c r="O84" s="1"/>
      <c r="P84" s="1"/>
      <c r="Q84" s="1"/>
    </row>
    <row r="85" spans="1:17">
      <c r="A85" s="1"/>
      <c r="B85" s="1"/>
      <c r="C85" s="1"/>
      <c r="D85" s="1"/>
      <c r="E85" s="1"/>
      <c r="F85" s="2"/>
      <c r="G85" s="1"/>
      <c r="H85" s="1"/>
      <c r="I85" s="1"/>
      <c r="J85" s="1"/>
      <c r="K85" s="1"/>
      <c r="L85" s="1"/>
      <c r="M85" s="1"/>
      <c r="N85" s="1"/>
      <c r="O85" s="1"/>
      <c r="P85" s="1"/>
      <c r="Q85" s="1"/>
    </row>
    <row r="86" spans="1:17">
      <c r="A86" s="1"/>
      <c r="B86" s="1"/>
      <c r="C86" s="1"/>
      <c r="D86" s="1"/>
      <c r="E86" s="1"/>
      <c r="F86" s="2"/>
      <c r="G86" s="1"/>
      <c r="H86" s="1"/>
      <c r="I86" s="1"/>
      <c r="J86" s="1"/>
      <c r="K86" s="1"/>
      <c r="L86" s="1"/>
      <c r="M86" s="1"/>
      <c r="N86" s="1"/>
      <c r="O86" s="1"/>
      <c r="P86" s="1"/>
      <c r="Q86" s="1"/>
    </row>
    <row r="87" spans="1:17">
      <c r="A87" s="1"/>
      <c r="B87" s="1"/>
      <c r="C87" s="1"/>
      <c r="D87" s="1"/>
      <c r="E87" s="1"/>
      <c r="F87" s="2"/>
      <c r="G87" s="1"/>
      <c r="H87" s="1"/>
      <c r="I87" s="1"/>
      <c r="J87" s="1"/>
      <c r="K87" s="1"/>
      <c r="L87" s="1"/>
      <c r="M87" s="1"/>
      <c r="N87" s="1"/>
      <c r="O87" s="1"/>
      <c r="P87" s="1"/>
      <c r="Q87" s="1"/>
    </row>
    <row r="88" spans="1:17">
      <c r="A88" s="1"/>
      <c r="B88" s="1"/>
      <c r="C88" s="1"/>
      <c r="D88" s="1"/>
      <c r="E88" s="1"/>
      <c r="F88" s="2"/>
      <c r="G88" s="1"/>
      <c r="H88" s="1"/>
      <c r="I88" s="1"/>
      <c r="J88" s="1"/>
      <c r="K88" s="1"/>
      <c r="L88" s="1"/>
      <c r="M88" s="1"/>
      <c r="N88" s="1"/>
      <c r="O88" s="1"/>
      <c r="P88" s="1"/>
      <c r="Q88" s="1"/>
    </row>
  </sheetData>
  <sortState xmlns:xlrd2="http://schemas.microsoft.com/office/spreadsheetml/2017/richdata2" ref="A2:U28">
    <sortCondition descending="1" ref="N2:N28"/>
  </sortState>
  <phoneticPr fontId="7" type="noConversion"/>
  <conditionalFormatting sqref="L50:L78 L2:L43">
    <cfRule type="containsText" dxfId="132" priority="4" operator="containsText" text="Pass">
      <formula>NOT(ISERROR(SEARCH("Pass",L2)))</formula>
    </cfRule>
    <cfRule type="containsText" dxfId="131" priority="5" operator="containsText" text="Fail">
      <formula>NOT(ISERROR(SEARCH("Fail",L2)))</formula>
    </cfRule>
    <cfRule type="containsText" dxfId="130" priority="6" operator="containsText" text="Not Run">
      <formula>NOT(ISERROR(SEARCH("Not Run",L2)))</formula>
    </cfRule>
    <cfRule type="containsText" dxfId="129" priority="7" operator="containsText" text="Blocked">
      <formula>NOT(ISERROR(SEARCH("Blocked",L2)))</formula>
    </cfRule>
    <cfRule type="containsText" dxfId="128" priority="8" operator="containsText" text="In Progress">
      <formula>NOT(ISERROR(SEARCH("In Progress",L2)))</formula>
    </cfRule>
  </conditionalFormatting>
  <conditionalFormatting sqref="L17:L18">
    <cfRule type="containsText" dxfId="127" priority="19" operator="containsText" text="Fail"/>
    <cfRule type="containsText" dxfId="126" priority="20" operator="containsText" text="Not Run"/>
    <cfRule type="containsText" dxfId="125" priority="21" operator="containsText" text="Blocked"/>
    <cfRule type="containsText" dxfId="124" priority="22" operator="containsText" text="In Progress"/>
  </conditionalFormatting>
  <conditionalFormatting sqref="L17:M18">
    <cfRule type="containsText" dxfId="123" priority="18" operator="containsText" text="Low"/>
  </conditionalFormatting>
  <conditionalFormatting sqref="M50:M78 M2:M43">
    <cfRule type="containsText" dxfId="122" priority="1" operator="containsText" text="High">
      <formula>NOT(ISERROR(SEARCH("High",M2)))</formula>
    </cfRule>
    <cfRule type="containsText" dxfId="121" priority="2" operator="containsText" text="Medium">
      <formula>NOT(ISERROR(SEARCH("Medium",M2)))</formula>
    </cfRule>
    <cfRule type="containsText" dxfId="120" priority="3" operator="containsText" text="Low">
      <formula>NOT(ISERROR(SEARCH("Low",M2)))</formula>
    </cfRule>
  </conditionalFormatting>
  <conditionalFormatting sqref="M17:M18">
    <cfRule type="containsText" dxfId="119" priority="16" operator="containsText" text="High"/>
    <cfRule type="containsText" dxfId="118" priority="17" operator="containsText" text="Medium"/>
  </conditionalFormatting>
  <conditionalFormatting sqref="N50:N78 N2:N43">
    <cfRule type="containsText" dxfId="117" priority="9" operator="containsText" text="Positive">
      <formula>NOT(ISERROR(SEARCH("Positive",N2)))</formula>
    </cfRule>
    <cfRule type="containsText" dxfId="116" priority="10" operator="containsText" text="Negative">
      <formula>NOT(ISERROR(SEARCH("Negative",N2)))</formula>
    </cfRule>
    <cfRule type="containsText" dxfId="115" priority="11" operator="containsText" text="Destructive">
      <formula>NOT(ISERROR(SEARCH("Destructive",N2)))</formula>
    </cfRule>
    <cfRule type="containsText" dxfId="114" priority="12" operator="containsText" text="Accessibility">
      <formula>NOT(ISERROR(SEARCH("Accessibility",N2)))</formula>
    </cfRule>
    <cfRule type="containsText" dxfId="113" priority="13" operator="containsText" text="API">
      <formula>NOT(ISERROR(SEARCH("API",N2)))</formula>
    </cfRule>
    <cfRule type="containsText" dxfId="112" priority="14" operator="containsText" text="Usability">
      <formula>NOT(ISERROR(SEARCH("Usability",N2)))</formula>
    </cfRule>
    <cfRule type="containsText" dxfId="111" priority="15" operator="containsText" text="Functional">
      <formula>NOT(ISERROR(SEARCH("Functional",N2)))</formula>
    </cfRule>
  </conditionalFormatting>
  <conditionalFormatting sqref="N17:N18">
    <cfRule type="containsText" dxfId="110" priority="23" operator="containsText" text="Positive"/>
    <cfRule type="containsText" dxfId="109" priority="24" operator="containsText" text="Negative"/>
    <cfRule type="containsText" dxfId="108" priority="25" operator="containsText" text="Destructive"/>
    <cfRule type="containsText" dxfId="107" priority="26" operator="containsText" text="Accessibility"/>
    <cfRule type="containsText" dxfId="106" priority="27" operator="containsText" text="API"/>
    <cfRule type="containsText" dxfId="105" priority="28" operator="containsText" text="Usability"/>
    <cfRule type="containsText" dxfId="104" priority="29" operator="containsText" text="Functional"/>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F94BB-E117-4DA5-AE0A-31164CC675B0}">
  <sheetPr>
    <tabColor theme="6" tint="0.39997558519241921"/>
  </sheetPr>
  <dimension ref="A1:V80"/>
  <sheetViews>
    <sheetView zoomScale="92" zoomScaleNormal="100" workbookViewId="0">
      <pane xSplit="4" ySplit="1" topLeftCell="E2" activePane="bottomRight" state="frozen"/>
      <selection pane="topRight" activeCell="E1" sqref="E1"/>
      <selection pane="bottomLeft" activeCell="A2" sqref="A2"/>
      <selection pane="bottomRight" activeCell="H9" sqref="H9"/>
    </sheetView>
  </sheetViews>
  <sheetFormatPr defaultRowHeight="14.4"/>
  <cols>
    <col min="1" max="1" width="8.6640625" style="10" bestFit="1" customWidth="1"/>
    <col min="2" max="2" width="12" style="10" customWidth="1"/>
    <col min="3" max="3" width="18.77734375" style="10" customWidth="1"/>
    <col min="4" max="4" width="21.88671875" style="10" customWidth="1"/>
    <col min="5" max="5" width="20.77734375" style="10" bestFit="1" customWidth="1"/>
    <col min="6" max="6" width="31" style="10" bestFit="1" customWidth="1"/>
    <col min="7" max="7" width="18.44140625" style="10" customWidth="1"/>
    <col min="8" max="8" width="23" style="10" customWidth="1"/>
    <col min="9" max="9" width="22.77734375" style="10" bestFit="1" customWidth="1"/>
    <col min="10" max="10" width="27.21875" style="10" customWidth="1"/>
    <col min="11" max="11" width="16.5546875" style="10" customWidth="1"/>
    <col min="12" max="12" width="9.21875" style="10" bestFit="1" customWidth="1"/>
    <col min="13" max="13" width="10.33203125" style="10" bestFit="1" customWidth="1"/>
    <col min="14" max="14" width="13" style="10" bestFit="1" customWidth="1"/>
    <col min="15" max="15" width="14.5546875" style="10" bestFit="1" customWidth="1"/>
    <col min="16" max="16" width="25.5546875" style="10" customWidth="1"/>
    <col min="17" max="17" width="29.6640625" style="10" customWidth="1"/>
    <col min="18" max="18" width="11.5546875" style="10" customWidth="1"/>
    <col min="19" max="19" width="3.5546875" style="10" customWidth="1"/>
    <col min="20" max="20" width="7.21875" style="10" customWidth="1"/>
    <col min="21" max="21" width="19.21875" style="10" bestFit="1" customWidth="1"/>
    <col min="22" max="16384" width="8.88671875" style="10"/>
  </cols>
  <sheetData>
    <row r="1" spans="1:22" s="7" customFormat="1" ht="12">
      <c r="A1" s="37" t="s">
        <v>0</v>
      </c>
      <c r="B1" s="37" t="s">
        <v>1</v>
      </c>
      <c r="C1" s="37" t="s">
        <v>2</v>
      </c>
      <c r="D1" s="37" t="s">
        <v>3</v>
      </c>
      <c r="E1" s="37" t="s">
        <v>4</v>
      </c>
      <c r="F1" s="37" t="s">
        <v>5</v>
      </c>
      <c r="G1" s="22" t="s">
        <v>6</v>
      </c>
      <c r="H1" s="37" t="s">
        <v>7</v>
      </c>
      <c r="I1" s="38" t="s">
        <v>8</v>
      </c>
      <c r="J1" s="37" t="s">
        <v>9</v>
      </c>
      <c r="K1" s="37" t="s">
        <v>10</v>
      </c>
      <c r="L1" s="37" t="s">
        <v>11</v>
      </c>
      <c r="M1" s="37" t="s">
        <v>12</v>
      </c>
      <c r="N1" s="37" t="s">
        <v>13</v>
      </c>
      <c r="O1" s="37" t="s">
        <v>14</v>
      </c>
      <c r="P1" s="37" t="s">
        <v>15</v>
      </c>
      <c r="Q1" s="37" t="s">
        <v>147</v>
      </c>
      <c r="R1" s="37" t="s">
        <v>16</v>
      </c>
      <c r="S1" s="37" t="s">
        <v>17</v>
      </c>
      <c r="T1" s="37" t="s">
        <v>18</v>
      </c>
      <c r="U1" s="37" t="s">
        <v>19</v>
      </c>
      <c r="V1" s="34"/>
    </row>
    <row r="2" spans="1:22" ht="30.6">
      <c r="A2" s="22" t="s">
        <v>148</v>
      </c>
      <c r="B2" s="22" t="s">
        <v>645</v>
      </c>
      <c r="C2" s="22" t="s">
        <v>149</v>
      </c>
      <c r="D2" s="22" t="s">
        <v>150</v>
      </c>
      <c r="E2" s="22" t="s">
        <v>283</v>
      </c>
      <c r="F2" s="22" t="s">
        <v>151</v>
      </c>
      <c r="G2" s="22" t="s">
        <v>381</v>
      </c>
      <c r="H2" s="22" t="s">
        <v>152</v>
      </c>
      <c r="I2" s="22" t="s">
        <v>738</v>
      </c>
      <c r="J2" s="22" t="s">
        <v>152</v>
      </c>
      <c r="K2" s="22" t="s">
        <v>153</v>
      </c>
      <c r="L2" s="39" t="s">
        <v>121</v>
      </c>
      <c r="M2" s="40" t="s">
        <v>123</v>
      </c>
      <c r="N2" s="41" t="s">
        <v>126</v>
      </c>
      <c r="O2" s="22" t="s">
        <v>275</v>
      </c>
      <c r="P2" s="22" t="s">
        <v>248</v>
      </c>
      <c r="Q2" s="22" t="s">
        <v>210</v>
      </c>
      <c r="R2" s="22" t="s">
        <v>658</v>
      </c>
      <c r="S2" s="22"/>
      <c r="T2" s="22" t="s">
        <v>746</v>
      </c>
      <c r="U2" s="31">
        <v>45954</v>
      </c>
      <c r="V2" s="35"/>
    </row>
    <row r="3" spans="1:22" ht="30.6">
      <c r="A3" s="22" t="s">
        <v>154</v>
      </c>
      <c r="B3" s="22" t="s">
        <v>645</v>
      </c>
      <c r="C3" s="22" t="s">
        <v>155</v>
      </c>
      <c r="D3" s="22" t="s">
        <v>156</v>
      </c>
      <c r="E3" s="22" t="s">
        <v>157</v>
      </c>
      <c r="F3" s="22" t="s">
        <v>158</v>
      </c>
      <c r="G3" s="22" t="s">
        <v>684</v>
      </c>
      <c r="H3" s="22" t="s">
        <v>159</v>
      </c>
      <c r="I3" s="22" t="s">
        <v>753</v>
      </c>
      <c r="J3" s="22" t="s">
        <v>160</v>
      </c>
      <c r="K3" s="22" t="s">
        <v>117</v>
      </c>
      <c r="L3" s="39" t="s">
        <v>121</v>
      </c>
      <c r="M3" s="40" t="s">
        <v>123</v>
      </c>
      <c r="N3" s="41" t="s">
        <v>126</v>
      </c>
      <c r="O3" s="22" t="s">
        <v>276</v>
      </c>
      <c r="P3" s="22" t="s">
        <v>249</v>
      </c>
      <c r="Q3" s="22" t="s">
        <v>211</v>
      </c>
      <c r="R3" s="22" t="s">
        <v>658</v>
      </c>
      <c r="S3" s="22"/>
      <c r="T3" s="22" t="s">
        <v>746</v>
      </c>
      <c r="U3" s="31">
        <v>45954</v>
      </c>
      <c r="V3" s="35"/>
    </row>
    <row r="4" spans="1:22" ht="51">
      <c r="A4" s="22" t="s">
        <v>161</v>
      </c>
      <c r="B4" s="22" t="s">
        <v>645</v>
      </c>
      <c r="C4" s="22" t="s">
        <v>162</v>
      </c>
      <c r="D4" s="22" t="s">
        <v>163</v>
      </c>
      <c r="E4" s="22" t="s">
        <v>164</v>
      </c>
      <c r="F4" s="22" t="s">
        <v>165</v>
      </c>
      <c r="G4" s="22" t="s">
        <v>685</v>
      </c>
      <c r="H4" s="22" t="s">
        <v>107</v>
      </c>
      <c r="I4" s="22" t="s">
        <v>735</v>
      </c>
      <c r="J4" s="22" t="s">
        <v>166</v>
      </c>
      <c r="K4" s="22" t="s">
        <v>118</v>
      </c>
      <c r="L4" s="39" t="s">
        <v>121</v>
      </c>
      <c r="M4" s="40" t="s">
        <v>123</v>
      </c>
      <c r="N4" s="42" t="s">
        <v>127</v>
      </c>
      <c r="O4" s="22" t="s">
        <v>277</v>
      </c>
      <c r="P4" s="22" t="s">
        <v>250</v>
      </c>
      <c r="Q4" s="22" t="s">
        <v>212</v>
      </c>
      <c r="R4" s="22" t="s">
        <v>658</v>
      </c>
      <c r="S4" s="22"/>
      <c r="T4" s="22" t="s">
        <v>746</v>
      </c>
      <c r="U4" s="31">
        <v>45954</v>
      </c>
      <c r="V4" s="35"/>
    </row>
    <row r="5" spans="1:22" ht="30.6">
      <c r="A5" s="22" t="s">
        <v>167</v>
      </c>
      <c r="B5" s="22" t="s">
        <v>645</v>
      </c>
      <c r="C5" s="22" t="s">
        <v>168</v>
      </c>
      <c r="D5" s="22" t="s">
        <v>169</v>
      </c>
      <c r="E5" s="22" t="s">
        <v>170</v>
      </c>
      <c r="F5" s="22" t="s">
        <v>171</v>
      </c>
      <c r="G5" s="22" t="s">
        <v>686</v>
      </c>
      <c r="H5" s="22" t="s">
        <v>172</v>
      </c>
      <c r="I5" s="22" t="s">
        <v>748</v>
      </c>
      <c r="J5" s="22" t="s">
        <v>747</v>
      </c>
      <c r="K5" s="22" t="s">
        <v>119</v>
      </c>
      <c r="L5" s="39" t="s">
        <v>121</v>
      </c>
      <c r="M5" s="40" t="s">
        <v>123</v>
      </c>
      <c r="N5" s="41" t="s">
        <v>126</v>
      </c>
      <c r="O5" s="22" t="s">
        <v>278</v>
      </c>
      <c r="P5" s="22" t="s">
        <v>251</v>
      </c>
      <c r="Q5" s="22" t="s">
        <v>213</v>
      </c>
      <c r="R5" s="22" t="s">
        <v>658</v>
      </c>
      <c r="S5" s="22"/>
      <c r="T5" s="22" t="s">
        <v>746</v>
      </c>
      <c r="U5" s="31">
        <v>45954</v>
      </c>
      <c r="V5" s="35"/>
    </row>
    <row r="6" spans="1:22" ht="30.6">
      <c r="A6" s="22" t="s">
        <v>173</v>
      </c>
      <c r="B6" s="22" t="s">
        <v>645</v>
      </c>
      <c r="C6" s="22" t="s">
        <v>174</v>
      </c>
      <c r="D6" s="22" t="s">
        <v>175</v>
      </c>
      <c r="E6" s="22" t="s">
        <v>170</v>
      </c>
      <c r="F6" s="22" t="s">
        <v>176</v>
      </c>
      <c r="G6" s="22" t="s">
        <v>688</v>
      </c>
      <c r="H6" s="22" t="s">
        <v>177</v>
      </c>
      <c r="I6" s="22" t="s">
        <v>749</v>
      </c>
      <c r="J6" s="22" t="s">
        <v>178</v>
      </c>
      <c r="K6" s="22" t="s">
        <v>120</v>
      </c>
      <c r="L6" s="39" t="s">
        <v>121</v>
      </c>
      <c r="M6" s="40" t="s">
        <v>123</v>
      </c>
      <c r="N6" s="41" t="s">
        <v>126</v>
      </c>
      <c r="O6" s="22" t="s">
        <v>278</v>
      </c>
      <c r="P6" s="22" t="s">
        <v>252</v>
      </c>
      <c r="Q6" s="22" t="s">
        <v>214</v>
      </c>
      <c r="R6" s="22" t="s">
        <v>658</v>
      </c>
      <c r="S6" s="22"/>
      <c r="T6" s="22" t="s">
        <v>746</v>
      </c>
      <c r="U6" s="31">
        <v>45954</v>
      </c>
      <c r="V6" s="35"/>
    </row>
    <row r="7" spans="1:22" ht="40.799999999999997">
      <c r="A7" s="22" t="s">
        <v>179</v>
      </c>
      <c r="B7" s="22" t="s">
        <v>633</v>
      </c>
      <c r="C7" s="22" t="s">
        <v>180</v>
      </c>
      <c r="D7" s="22" t="s">
        <v>72</v>
      </c>
      <c r="E7" s="22" t="s">
        <v>157</v>
      </c>
      <c r="F7" s="22" t="s">
        <v>158</v>
      </c>
      <c r="G7" s="22" t="s">
        <v>692</v>
      </c>
      <c r="H7" s="22" t="s">
        <v>181</v>
      </c>
      <c r="I7" s="22" t="s">
        <v>742</v>
      </c>
      <c r="J7" s="22" t="s">
        <v>182</v>
      </c>
      <c r="K7" s="22" t="s">
        <v>118</v>
      </c>
      <c r="L7" s="39" t="s">
        <v>183</v>
      </c>
      <c r="M7" s="40" t="s">
        <v>123</v>
      </c>
      <c r="N7" s="42" t="s">
        <v>129</v>
      </c>
      <c r="O7" s="22" t="s">
        <v>269</v>
      </c>
      <c r="P7" s="22" t="s">
        <v>253</v>
      </c>
      <c r="Q7" s="22" t="s">
        <v>215</v>
      </c>
      <c r="R7" s="22" t="s">
        <v>658</v>
      </c>
      <c r="S7" s="22"/>
      <c r="T7" s="22" t="s">
        <v>746</v>
      </c>
      <c r="U7" s="31">
        <v>45954</v>
      </c>
      <c r="V7" s="35"/>
    </row>
    <row r="8" spans="1:22" ht="30.6">
      <c r="A8" s="22" t="s">
        <v>439</v>
      </c>
      <c r="B8" s="22" t="s">
        <v>635</v>
      </c>
      <c r="C8" s="22" t="s">
        <v>184</v>
      </c>
      <c r="D8" s="22" t="s">
        <v>185</v>
      </c>
      <c r="E8" s="22" t="s">
        <v>186</v>
      </c>
      <c r="F8" s="22" t="s">
        <v>187</v>
      </c>
      <c r="G8" s="22" t="s">
        <v>699</v>
      </c>
      <c r="H8" s="22" t="s">
        <v>188</v>
      </c>
      <c r="I8" s="22" t="s">
        <v>738</v>
      </c>
      <c r="J8" s="22" t="s">
        <v>254</v>
      </c>
      <c r="K8" s="22" t="s">
        <v>189</v>
      </c>
      <c r="L8" s="40" t="s">
        <v>121</v>
      </c>
      <c r="M8" s="40" t="s">
        <v>123</v>
      </c>
      <c r="N8" s="43" t="s">
        <v>130</v>
      </c>
      <c r="O8" s="22" t="s">
        <v>279</v>
      </c>
      <c r="P8" s="22" t="s">
        <v>255</v>
      </c>
      <c r="Q8" s="22" t="s">
        <v>216</v>
      </c>
      <c r="R8" s="22" t="s">
        <v>659</v>
      </c>
      <c r="S8" s="22" t="s">
        <v>133</v>
      </c>
      <c r="T8" s="22" t="s">
        <v>746</v>
      </c>
      <c r="U8" s="31">
        <v>45954</v>
      </c>
      <c r="V8" s="35"/>
    </row>
    <row r="9" spans="1:22" ht="173.4">
      <c r="A9" s="22" t="s">
        <v>440</v>
      </c>
      <c r="B9" s="22" t="s">
        <v>635</v>
      </c>
      <c r="C9" s="22" t="s">
        <v>191</v>
      </c>
      <c r="D9" s="22" t="s">
        <v>192</v>
      </c>
      <c r="E9" s="22" t="s">
        <v>193</v>
      </c>
      <c r="F9" s="22" t="s">
        <v>296</v>
      </c>
      <c r="G9" s="22" t="s">
        <v>705</v>
      </c>
      <c r="H9" s="22" t="s">
        <v>294</v>
      </c>
      <c r="I9" s="22" t="s">
        <v>742</v>
      </c>
      <c r="J9" s="22" t="s">
        <v>492</v>
      </c>
      <c r="K9" s="22" t="s">
        <v>194</v>
      </c>
      <c r="L9" s="32" t="s">
        <v>183</v>
      </c>
      <c r="M9" s="40" t="s">
        <v>123</v>
      </c>
      <c r="N9" s="44" t="s">
        <v>195</v>
      </c>
      <c r="O9" s="22" t="s">
        <v>270</v>
      </c>
      <c r="P9" s="22" t="s">
        <v>256</v>
      </c>
      <c r="Q9" s="22" t="s">
        <v>217</v>
      </c>
      <c r="R9" s="22" t="s">
        <v>658</v>
      </c>
      <c r="S9" s="22" t="s">
        <v>133</v>
      </c>
      <c r="T9" s="22" t="s">
        <v>746</v>
      </c>
      <c r="U9" s="31">
        <v>45954</v>
      </c>
      <c r="V9" s="35"/>
    </row>
    <row r="10" spans="1:22" ht="20.399999999999999">
      <c r="A10" s="22" t="s">
        <v>441</v>
      </c>
      <c r="B10" s="22" t="s">
        <v>646</v>
      </c>
      <c r="C10" s="22" t="s">
        <v>196</v>
      </c>
      <c r="D10" s="22" t="s">
        <v>299</v>
      </c>
      <c r="E10" s="22" t="s">
        <v>197</v>
      </c>
      <c r="F10" s="22" t="s">
        <v>198</v>
      </c>
      <c r="G10" s="22" t="s">
        <v>768</v>
      </c>
      <c r="H10" s="22" t="s">
        <v>199</v>
      </c>
      <c r="I10" s="22" t="s">
        <v>754</v>
      </c>
      <c r="J10" s="22" t="s">
        <v>257</v>
      </c>
      <c r="K10" s="22" t="s">
        <v>200</v>
      </c>
      <c r="L10" s="32" t="s">
        <v>121</v>
      </c>
      <c r="M10" s="22" t="s">
        <v>124</v>
      </c>
      <c r="N10" s="42" t="s">
        <v>129</v>
      </c>
      <c r="O10" s="22" t="s">
        <v>271</v>
      </c>
      <c r="P10" s="22" t="s">
        <v>258</v>
      </c>
      <c r="Q10" s="22" t="s">
        <v>218</v>
      </c>
      <c r="R10" s="22" t="s">
        <v>659</v>
      </c>
      <c r="S10" s="22" t="s">
        <v>133</v>
      </c>
      <c r="T10" s="22" t="s">
        <v>746</v>
      </c>
      <c r="U10" s="31">
        <v>45954</v>
      </c>
      <c r="V10" s="35"/>
    </row>
    <row r="11" spans="1:22" ht="30.6">
      <c r="A11" s="22" t="s">
        <v>442</v>
      </c>
      <c r="B11" s="22" t="s">
        <v>635</v>
      </c>
      <c r="C11" s="22" t="s">
        <v>201</v>
      </c>
      <c r="D11" s="22" t="s">
        <v>202</v>
      </c>
      <c r="E11" s="22" t="s">
        <v>203</v>
      </c>
      <c r="F11" s="22" t="s">
        <v>204</v>
      </c>
      <c r="G11" s="22" t="s">
        <v>703</v>
      </c>
      <c r="H11" s="22" t="s">
        <v>205</v>
      </c>
      <c r="I11" s="22" t="s">
        <v>751</v>
      </c>
      <c r="J11" s="22" t="s">
        <v>259</v>
      </c>
      <c r="K11" s="22" t="s">
        <v>206</v>
      </c>
      <c r="L11" s="32" t="s">
        <v>121</v>
      </c>
      <c r="M11" s="40" t="s">
        <v>123</v>
      </c>
      <c r="N11" s="33" t="s">
        <v>127</v>
      </c>
      <c r="O11" s="22" t="s">
        <v>280</v>
      </c>
      <c r="P11" s="22" t="s">
        <v>260</v>
      </c>
      <c r="Q11" s="22" t="s">
        <v>219</v>
      </c>
      <c r="R11" s="22" t="s">
        <v>658</v>
      </c>
      <c r="S11" s="22" t="s">
        <v>133</v>
      </c>
      <c r="T11" s="22" t="s">
        <v>746</v>
      </c>
      <c r="U11" s="31">
        <v>45954</v>
      </c>
      <c r="V11" s="35"/>
    </row>
    <row r="12" spans="1:22" ht="142.80000000000001">
      <c r="A12" s="22" t="s">
        <v>443</v>
      </c>
      <c r="B12" s="22" t="s">
        <v>635</v>
      </c>
      <c r="C12" s="22" t="s">
        <v>220</v>
      </c>
      <c r="D12" s="22" t="s">
        <v>293</v>
      </c>
      <c r="E12" s="22" t="s">
        <v>292</v>
      </c>
      <c r="F12" s="22" t="s">
        <v>297</v>
      </c>
      <c r="G12" s="22" t="s">
        <v>769</v>
      </c>
      <c r="H12" s="22" t="s">
        <v>294</v>
      </c>
      <c r="I12" s="22" t="s">
        <v>744</v>
      </c>
      <c r="J12" s="22" t="s">
        <v>298</v>
      </c>
      <c r="K12" s="22" t="s">
        <v>194</v>
      </c>
      <c r="L12" s="32" t="s">
        <v>183</v>
      </c>
      <c r="M12" s="22" t="s">
        <v>123</v>
      </c>
      <c r="N12" s="43" t="s">
        <v>195</v>
      </c>
      <c r="O12" s="22" t="s">
        <v>272</v>
      </c>
      <c r="P12" s="22" t="s">
        <v>262</v>
      </c>
      <c r="Q12" s="22" t="s">
        <v>376</v>
      </c>
      <c r="R12" s="22" t="s">
        <v>658</v>
      </c>
      <c r="S12" s="22" t="s">
        <v>133</v>
      </c>
      <c r="T12" s="22" t="s">
        <v>746</v>
      </c>
      <c r="U12" s="31">
        <v>45954</v>
      </c>
      <c r="V12" s="35"/>
    </row>
    <row r="13" spans="1:22" ht="30.6">
      <c r="A13" s="22" t="s">
        <v>444</v>
      </c>
      <c r="B13" s="22" t="s">
        <v>634</v>
      </c>
      <c r="C13" s="22" t="s">
        <v>285</v>
      </c>
      <c r="D13" s="22" t="s">
        <v>286</v>
      </c>
      <c r="E13" s="22" t="s">
        <v>186</v>
      </c>
      <c r="F13" s="22" t="s">
        <v>287</v>
      </c>
      <c r="G13" s="22" t="s">
        <v>701</v>
      </c>
      <c r="H13" s="22" t="s">
        <v>288</v>
      </c>
      <c r="I13" s="22" t="s">
        <v>738</v>
      </c>
      <c r="J13" s="22" t="s">
        <v>289</v>
      </c>
      <c r="K13" s="22" t="s">
        <v>225</v>
      </c>
      <c r="L13" s="32" t="s">
        <v>121</v>
      </c>
      <c r="M13" s="22" t="s">
        <v>124</v>
      </c>
      <c r="N13" s="33" t="s">
        <v>130</v>
      </c>
      <c r="O13" s="22" t="s">
        <v>268</v>
      </c>
      <c r="P13" s="22" t="s">
        <v>263</v>
      </c>
      <c r="Q13" s="22" t="s">
        <v>295</v>
      </c>
      <c r="R13" s="22" t="s">
        <v>659</v>
      </c>
      <c r="S13" s="22" t="s">
        <v>133</v>
      </c>
      <c r="T13" s="22" t="s">
        <v>746</v>
      </c>
      <c r="U13" s="31">
        <v>45954</v>
      </c>
      <c r="V13" s="35"/>
    </row>
    <row r="14" spans="1:22" ht="30.6">
      <c r="A14" s="22" t="s">
        <v>445</v>
      </c>
      <c r="B14" s="22" t="s">
        <v>634</v>
      </c>
      <c r="C14" s="22" t="s">
        <v>221</v>
      </c>
      <c r="D14" s="22" t="s">
        <v>222</v>
      </c>
      <c r="E14" s="22" t="s">
        <v>284</v>
      </c>
      <c r="F14" s="22" t="s">
        <v>223</v>
      </c>
      <c r="G14" s="22" t="s">
        <v>696</v>
      </c>
      <c r="H14" s="22" t="s">
        <v>224</v>
      </c>
      <c r="I14" s="22" t="s">
        <v>751</v>
      </c>
      <c r="J14" s="22" t="s">
        <v>264</v>
      </c>
      <c r="K14" s="22" t="s">
        <v>225</v>
      </c>
      <c r="L14" s="32" t="s">
        <v>121</v>
      </c>
      <c r="M14" s="22" t="s">
        <v>123</v>
      </c>
      <c r="N14" s="43" t="s">
        <v>127</v>
      </c>
      <c r="O14" s="22" t="s">
        <v>274</v>
      </c>
      <c r="P14" s="22" t="s">
        <v>290</v>
      </c>
      <c r="Q14" s="22" t="s">
        <v>190</v>
      </c>
      <c r="R14" s="22" t="s">
        <v>658</v>
      </c>
      <c r="S14" s="22" t="s">
        <v>133</v>
      </c>
      <c r="T14" s="22" t="s">
        <v>746</v>
      </c>
      <c r="U14" s="31">
        <v>45954</v>
      </c>
      <c r="V14" s="35"/>
    </row>
    <row r="15" spans="1:22" ht="40.799999999999997">
      <c r="A15" s="22" t="s">
        <v>446</v>
      </c>
      <c r="B15" s="22" t="s">
        <v>647</v>
      </c>
      <c r="C15" s="22" t="s">
        <v>226</v>
      </c>
      <c r="D15" s="22" t="s">
        <v>227</v>
      </c>
      <c r="E15" s="22" t="s">
        <v>228</v>
      </c>
      <c r="F15" s="22" t="s">
        <v>229</v>
      </c>
      <c r="G15" s="22" t="s">
        <v>684</v>
      </c>
      <c r="H15" s="22" t="s">
        <v>230</v>
      </c>
      <c r="I15" s="22" t="s">
        <v>752</v>
      </c>
      <c r="J15" s="22" t="s">
        <v>265</v>
      </c>
      <c r="K15" s="22" t="s">
        <v>231</v>
      </c>
      <c r="L15" s="32" t="s">
        <v>121</v>
      </c>
      <c r="M15" s="22" t="s">
        <v>124</v>
      </c>
      <c r="N15" s="22" t="s">
        <v>130</v>
      </c>
      <c r="O15" s="22" t="s">
        <v>281</v>
      </c>
      <c r="P15" s="22" t="s">
        <v>291</v>
      </c>
      <c r="Q15" s="22" t="s">
        <v>190</v>
      </c>
      <c r="R15" s="22" t="s">
        <v>659</v>
      </c>
      <c r="S15" s="22" t="s">
        <v>133</v>
      </c>
      <c r="T15" s="22" t="s">
        <v>746</v>
      </c>
      <c r="U15" s="31">
        <v>45954</v>
      </c>
      <c r="V15" s="35"/>
    </row>
    <row r="16" spans="1:22" ht="30.6">
      <c r="A16" s="22" t="s">
        <v>447</v>
      </c>
      <c r="B16" s="22" t="s">
        <v>640</v>
      </c>
      <c r="C16" s="22" t="s">
        <v>232</v>
      </c>
      <c r="D16" s="22" t="s">
        <v>235</v>
      </c>
      <c r="E16" s="22" t="s">
        <v>236</v>
      </c>
      <c r="F16" s="22" t="s">
        <v>237</v>
      </c>
      <c r="G16" s="22" t="s">
        <v>721</v>
      </c>
      <c r="H16" s="22" t="s">
        <v>238</v>
      </c>
      <c r="I16" s="22" t="s">
        <v>741</v>
      </c>
      <c r="J16" s="22" t="s">
        <v>266</v>
      </c>
      <c r="K16" s="22" t="s">
        <v>239</v>
      </c>
      <c r="L16" s="32" t="s">
        <v>121</v>
      </c>
      <c r="M16" s="22" t="s">
        <v>124</v>
      </c>
      <c r="N16" s="22" t="s">
        <v>130</v>
      </c>
      <c r="O16" s="22" t="s">
        <v>282</v>
      </c>
      <c r="P16" s="22" t="s">
        <v>267</v>
      </c>
      <c r="Q16" s="22" t="s">
        <v>190</v>
      </c>
      <c r="R16" s="22" t="s">
        <v>659</v>
      </c>
      <c r="S16" s="22" t="s">
        <v>133</v>
      </c>
      <c r="T16" s="22" t="s">
        <v>746</v>
      </c>
      <c r="U16" s="31">
        <v>45954</v>
      </c>
      <c r="V16" s="35"/>
    </row>
    <row r="17" spans="1:22" ht="30.6">
      <c r="A17" s="22" t="s">
        <v>448</v>
      </c>
      <c r="B17" s="22" t="s">
        <v>633</v>
      </c>
      <c r="C17" s="22" t="s">
        <v>387</v>
      </c>
      <c r="D17" s="22" t="s">
        <v>388</v>
      </c>
      <c r="E17" s="22" t="s">
        <v>284</v>
      </c>
      <c r="F17" s="22" t="s">
        <v>389</v>
      </c>
      <c r="G17" s="22" t="s">
        <v>723</v>
      </c>
      <c r="H17" s="22" t="s">
        <v>390</v>
      </c>
      <c r="I17" s="22" t="s">
        <v>740</v>
      </c>
      <c r="J17" s="22" t="s">
        <v>619</v>
      </c>
      <c r="K17" s="22" t="s">
        <v>620</v>
      </c>
      <c r="L17" s="32" t="s">
        <v>183</v>
      </c>
      <c r="M17" s="22" t="s">
        <v>123</v>
      </c>
      <c r="N17" s="22" t="s">
        <v>129</v>
      </c>
      <c r="O17" s="22" t="s">
        <v>392</v>
      </c>
      <c r="P17" s="22" t="s">
        <v>393</v>
      </c>
      <c r="Q17" s="22" t="s">
        <v>145</v>
      </c>
      <c r="R17" s="22" t="s">
        <v>682</v>
      </c>
      <c r="S17" s="22" t="s">
        <v>133</v>
      </c>
      <c r="T17" s="22" t="s">
        <v>746</v>
      </c>
      <c r="U17" s="31">
        <v>45954</v>
      </c>
      <c r="V17" s="35"/>
    </row>
    <row r="18" spans="1:22" ht="20.399999999999999">
      <c r="A18" s="22" t="s">
        <v>449</v>
      </c>
      <c r="B18" s="22" t="s">
        <v>633</v>
      </c>
      <c r="C18" s="22" t="s">
        <v>394</v>
      </c>
      <c r="D18" s="22" t="s">
        <v>395</v>
      </c>
      <c r="E18" s="22" t="s">
        <v>284</v>
      </c>
      <c r="F18" s="22" t="s">
        <v>396</v>
      </c>
      <c r="G18" s="22" t="s">
        <v>693</v>
      </c>
      <c r="H18" s="22" t="s">
        <v>397</v>
      </c>
      <c r="I18" s="22" t="s">
        <v>750</v>
      </c>
      <c r="J18" s="22" t="s">
        <v>391</v>
      </c>
      <c r="K18" s="22" t="s">
        <v>194</v>
      </c>
      <c r="L18" s="32" t="s">
        <v>183</v>
      </c>
      <c r="M18" s="22" t="s">
        <v>124</v>
      </c>
      <c r="N18" s="22" t="s">
        <v>129</v>
      </c>
      <c r="O18" s="22" t="s">
        <v>398</v>
      </c>
      <c r="P18" s="22" t="s">
        <v>399</v>
      </c>
      <c r="Q18" s="22" t="s">
        <v>145</v>
      </c>
      <c r="R18" s="22" t="s">
        <v>682</v>
      </c>
      <c r="S18" s="22" t="s">
        <v>133</v>
      </c>
      <c r="T18" s="22" t="s">
        <v>746</v>
      </c>
      <c r="U18" s="31">
        <v>45954</v>
      </c>
      <c r="V18" s="35"/>
    </row>
    <row r="19" spans="1:22" ht="30.6">
      <c r="A19" s="22" t="s">
        <v>450</v>
      </c>
      <c r="B19" s="22" t="s">
        <v>640</v>
      </c>
      <c r="C19" s="22" t="s">
        <v>400</v>
      </c>
      <c r="D19" s="22" t="s">
        <v>401</v>
      </c>
      <c r="E19" s="22" t="s">
        <v>284</v>
      </c>
      <c r="F19" s="22" t="s">
        <v>621</v>
      </c>
      <c r="G19" s="22" t="s">
        <v>725</v>
      </c>
      <c r="H19" s="22" t="s">
        <v>402</v>
      </c>
      <c r="I19" s="22" t="s">
        <v>738</v>
      </c>
      <c r="J19" s="22" t="s">
        <v>622</v>
      </c>
      <c r="K19" s="22" t="s">
        <v>403</v>
      </c>
      <c r="L19" s="32" t="s">
        <v>121</v>
      </c>
      <c r="M19" s="22" t="s">
        <v>124</v>
      </c>
      <c r="N19" s="22" t="s">
        <v>127</v>
      </c>
      <c r="O19" s="22" t="s">
        <v>404</v>
      </c>
      <c r="P19" s="22" t="s">
        <v>405</v>
      </c>
      <c r="Q19" s="22" t="s">
        <v>146</v>
      </c>
      <c r="R19" s="22" t="s">
        <v>682</v>
      </c>
      <c r="S19" s="22" t="s">
        <v>133</v>
      </c>
      <c r="T19" s="22" t="s">
        <v>746</v>
      </c>
      <c r="U19" s="31">
        <v>45954</v>
      </c>
      <c r="V19" s="35"/>
    </row>
    <row r="20" spans="1:22" ht="40.799999999999997">
      <c r="A20" s="22" t="s">
        <v>451</v>
      </c>
      <c r="B20" s="22" t="s">
        <v>643</v>
      </c>
      <c r="C20" s="22" t="s">
        <v>406</v>
      </c>
      <c r="D20" s="22" t="s">
        <v>407</v>
      </c>
      <c r="E20" s="22" t="s">
        <v>408</v>
      </c>
      <c r="F20" s="22" t="s">
        <v>409</v>
      </c>
      <c r="G20" s="22" t="s">
        <v>707</v>
      </c>
      <c r="H20" s="22" t="s">
        <v>410</v>
      </c>
      <c r="I20" s="22" t="s">
        <v>735</v>
      </c>
      <c r="J20" s="22" t="s">
        <v>628</v>
      </c>
      <c r="K20" s="22" t="s">
        <v>411</v>
      </c>
      <c r="L20" s="32" t="s">
        <v>183</v>
      </c>
      <c r="M20" s="22" t="s">
        <v>123</v>
      </c>
      <c r="N20" s="22" t="s">
        <v>40</v>
      </c>
      <c r="O20" s="22" t="s">
        <v>412</v>
      </c>
      <c r="P20" s="22" t="s">
        <v>413</v>
      </c>
      <c r="Q20" s="22" t="s">
        <v>414</v>
      </c>
      <c r="R20" s="22" t="s">
        <v>658</v>
      </c>
      <c r="S20" s="22" t="s">
        <v>133</v>
      </c>
      <c r="T20" s="22" t="s">
        <v>746</v>
      </c>
      <c r="U20" s="31">
        <v>45957</v>
      </c>
      <c r="V20" s="35"/>
    </row>
    <row r="21" spans="1:22" ht="30.6">
      <c r="A21" s="22" t="s">
        <v>452</v>
      </c>
      <c r="B21" s="22" t="s">
        <v>643</v>
      </c>
      <c r="C21" s="22" t="s">
        <v>623</v>
      </c>
      <c r="D21" s="22" t="s">
        <v>415</v>
      </c>
      <c r="E21" s="22" t="s">
        <v>416</v>
      </c>
      <c r="F21" s="22" t="s">
        <v>624</v>
      </c>
      <c r="G21" s="22" t="s">
        <v>770</v>
      </c>
      <c r="H21" s="22" t="s">
        <v>626</v>
      </c>
      <c r="I21" s="22" t="s">
        <v>743</v>
      </c>
      <c r="J21" s="22" t="s">
        <v>625</v>
      </c>
      <c r="K21" s="22" t="s">
        <v>194</v>
      </c>
      <c r="L21" s="32" t="s">
        <v>183</v>
      </c>
      <c r="M21" s="22" t="s">
        <v>123</v>
      </c>
      <c r="N21" s="22" t="s">
        <v>40</v>
      </c>
      <c r="O21" s="22" t="s">
        <v>417</v>
      </c>
      <c r="P21" s="22" t="s">
        <v>413</v>
      </c>
      <c r="Q21" s="22" t="s">
        <v>418</v>
      </c>
      <c r="R21" s="22" t="s">
        <v>658</v>
      </c>
      <c r="S21" s="22" t="s">
        <v>133</v>
      </c>
      <c r="T21" s="22" t="s">
        <v>746</v>
      </c>
      <c r="U21" s="31">
        <v>45957</v>
      </c>
      <c r="V21" s="35"/>
    </row>
    <row r="22" spans="1:22" ht="30.6">
      <c r="A22" s="22" t="s">
        <v>453</v>
      </c>
      <c r="B22" s="22" t="s">
        <v>642</v>
      </c>
      <c r="C22" s="22" t="s">
        <v>54</v>
      </c>
      <c r="D22" s="22" t="s">
        <v>419</v>
      </c>
      <c r="E22" s="22" t="s">
        <v>420</v>
      </c>
      <c r="F22" s="22" t="s">
        <v>627</v>
      </c>
      <c r="G22" s="22" t="s">
        <v>728</v>
      </c>
      <c r="H22" s="22" t="s">
        <v>421</v>
      </c>
      <c r="I22" s="22" t="s">
        <v>744</v>
      </c>
      <c r="J22" s="22" t="s">
        <v>501</v>
      </c>
      <c r="K22" s="22" t="s">
        <v>422</v>
      </c>
      <c r="L22" s="32" t="s">
        <v>121</v>
      </c>
      <c r="M22" s="22" t="s">
        <v>123</v>
      </c>
      <c r="N22" s="22" t="s">
        <v>40</v>
      </c>
      <c r="O22" s="22" t="s">
        <v>423</v>
      </c>
      <c r="P22" s="22" t="s">
        <v>424</v>
      </c>
      <c r="Q22" s="22" t="s">
        <v>418</v>
      </c>
      <c r="R22" s="22" t="s">
        <v>658</v>
      </c>
      <c r="S22" s="22" t="s">
        <v>133</v>
      </c>
      <c r="T22" s="22" t="s">
        <v>746</v>
      </c>
      <c r="U22" s="31">
        <v>45957</v>
      </c>
      <c r="V22" s="35"/>
    </row>
    <row r="23" spans="1:22" ht="30.6">
      <c r="A23" s="22" t="s">
        <v>804</v>
      </c>
      <c r="B23" s="22" t="s">
        <v>641</v>
      </c>
      <c r="C23" s="22" t="s">
        <v>425</v>
      </c>
      <c r="D23" s="22" t="s">
        <v>426</v>
      </c>
      <c r="E23" s="22" t="s">
        <v>427</v>
      </c>
      <c r="F23" s="22" t="s">
        <v>428</v>
      </c>
      <c r="G23" s="30" t="s">
        <v>727</v>
      </c>
      <c r="H23" s="22" t="s">
        <v>429</v>
      </c>
      <c r="I23" s="22" t="s">
        <v>743</v>
      </c>
      <c r="J23" s="22" t="s">
        <v>629</v>
      </c>
      <c r="K23" s="22" t="s">
        <v>206</v>
      </c>
      <c r="L23" s="32" t="s">
        <v>183</v>
      </c>
      <c r="M23" s="22" t="s">
        <v>123</v>
      </c>
      <c r="N23" s="22" t="s">
        <v>40</v>
      </c>
      <c r="O23" s="22" t="s">
        <v>430</v>
      </c>
      <c r="P23" s="22" t="s">
        <v>431</v>
      </c>
      <c r="Q23" s="22" t="s">
        <v>432</v>
      </c>
      <c r="R23" s="22" t="s">
        <v>658</v>
      </c>
      <c r="S23" s="22" t="s">
        <v>133</v>
      </c>
      <c r="T23" s="22" t="s">
        <v>746</v>
      </c>
      <c r="U23" s="31">
        <v>45957</v>
      </c>
      <c r="V23" s="35"/>
    </row>
    <row r="24" spans="1:22" ht="40.799999999999997">
      <c r="A24" s="22" t="s">
        <v>454</v>
      </c>
      <c r="B24" s="22" t="s">
        <v>638</v>
      </c>
      <c r="C24" s="22" t="s">
        <v>433</v>
      </c>
      <c r="D24" s="22" t="s">
        <v>434</v>
      </c>
      <c r="E24" s="22" t="s">
        <v>284</v>
      </c>
      <c r="F24" s="30" t="s">
        <v>631</v>
      </c>
      <c r="G24" s="22" t="s">
        <v>713</v>
      </c>
      <c r="H24" s="22" t="s">
        <v>435</v>
      </c>
      <c r="I24" s="22" t="s">
        <v>752</v>
      </c>
      <c r="J24" s="22" t="s">
        <v>391</v>
      </c>
      <c r="K24" s="22" t="s">
        <v>436</v>
      </c>
      <c r="L24" s="32" t="s">
        <v>121</v>
      </c>
      <c r="M24" s="22" t="s">
        <v>124</v>
      </c>
      <c r="N24" s="22" t="s">
        <v>130</v>
      </c>
      <c r="O24" s="22" t="s">
        <v>437</v>
      </c>
      <c r="P24" s="22" t="s">
        <v>438</v>
      </c>
      <c r="Q24" s="22" t="s">
        <v>145</v>
      </c>
      <c r="R24" s="22" t="s">
        <v>659</v>
      </c>
      <c r="S24" s="22" t="s">
        <v>133</v>
      </c>
      <c r="T24" s="22" t="s">
        <v>746</v>
      </c>
      <c r="U24" s="31">
        <v>45957</v>
      </c>
      <c r="V24" s="35"/>
    </row>
    <row r="25" spans="1:22" s="3" customFormat="1" ht="30.6">
      <c r="A25" s="22" t="s">
        <v>455</v>
      </c>
      <c r="B25" s="22" t="s">
        <v>300</v>
      </c>
      <c r="C25" s="22" t="s">
        <v>207</v>
      </c>
      <c r="D25" s="22" t="s">
        <v>327</v>
      </c>
      <c r="E25" s="22" t="s">
        <v>328</v>
      </c>
      <c r="F25" s="22" t="s">
        <v>329</v>
      </c>
      <c r="G25" s="22" t="s">
        <v>330</v>
      </c>
      <c r="H25" s="22" t="s">
        <v>331</v>
      </c>
      <c r="I25" s="22"/>
      <c r="J25" s="22" t="s">
        <v>261</v>
      </c>
      <c r="K25" s="22" t="s">
        <v>332</v>
      </c>
      <c r="L25" s="22" t="s">
        <v>121</v>
      </c>
      <c r="M25" s="22" t="s">
        <v>124</v>
      </c>
      <c r="N25" s="22" t="s">
        <v>41</v>
      </c>
      <c r="O25" s="22" t="s">
        <v>273</v>
      </c>
      <c r="P25" s="22" t="s">
        <v>301</v>
      </c>
      <c r="Q25" s="22" t="s">
        <v>333</v>
      </c>
      <c r="R25" s="22" t="s">
        <v>659</v>
      </c>
      <c r="S25" s="22" t="s">
        <v>133</v>
      </c>
      <c r="T25" s="22" t="s">
        <v>746</v>
      </c>
      <c r="U25" s="31">
        <v>45957</v>
      </c>
      <c r="V25" s="26"/>
    </row>
    <row r="26" spans="1:22" s="3" customFormat="1" ht="30.6">
      <c r="A26" s="22" t="s">
        <v>456</v>
      </c>
      <c r="B26" s="22" t="s">
        <v>302</v>
      </c>
      <c r="C26" s="22" t="s">
        <v>207</v>
      </c>
      <c r="D26" s="22" t="s">
        <v>334</v>
      </c>
      <c r="E26" s="22" t="s">
        <v>335</v>
      </c>
      <c r="F26" s="22" t="s">
        <v>336</v>
      </c>
      <c r="G26" s="22" t="s">
        <v>337</v>
      </c>
      <c r="H26" s="22" t="s">
        <v>303</v>
      </c>
      <c r="I26" s="22"/>
      <c r="J26" s="22" t="s">
        <v>261</v>
      </c>
      <c r="K26" s="22" t="s">
        <v>304</v>
      </c>
      <c r="L26" s="22" t="s">
        <v>121</v>
      </c>
      <c r="M26" s="22" t="s">
        <v>124</v>
      </c>
      <c r="N26" s="22" t="s">
        <v>41</v>
      </c>
      <c r="O26" s="22" t="s">
        <v>273</v>
      </c>
      <c r="P26" s="22" t="s">
        <v>305</v>
      </c>
      <c r="Q26" s="22" t="s">
        <v>338</v>
      </c>
      <c r="R26" s="22" t="s">
        <v>659</v>
      </c>
      <c r="S26" s="22" t="s">
        <v>133</v>
      </c>
      <c r="T26" s="22" t="s">
        <v>746</v>
      </c>
      <c r="U26" s="31">
        <v>45957</v>
      </c>
      <c r="V26" s="26"/>
    </row>
    <row r="27" spans="1:22" s="3" customFormat="1" ht="30.6">
      <c r="A27" s="22" t="s">
        <v>774</v>
      </c>
      <c r="B27" s="22" t="s">
        <v>39</v>
      </c>
      <c r="C27" s="22" t="s">
        <v>306</v>
      </c>
      <c r="D27" s="22" t="s">
        <v>307</v>
      </c>
      <c r="E27" s="22" t="s">
        <v>339</v>
      </c>
      <c r="F27" s="22" t="s">
        <v>308</v>
      </c>
      <c r="G27" s="22" t="s">
        <v>340</v>
      </c>
      <c r="H27" s="22" t="s">
        <v>309</v>
      </c>
      <c r="I27" s="22"/>
      <c r="J27" s="22" t="s">
        <v>261</v>
      </c>
      <c r="K27" s="22" t="s">
        <v>209</v>
      </c>
      <c r="L27" s="22" t="s">
        <v>121</v>
      </c>
      <c r="M27" s="22" t="s">
        <v>124</v>
      </c>
      <c r="N27" s="22" t="s">
        <v>41</v>
      </c>
      <c r="O27" s="22" t="s">
        <v>273</v>
      </c>
      <c r="P27" s="22" t="s">
        <v>310</v>
      </c>
      <c r="Q27" s="22" t="s">
        <v>341</v>
      </c>
      <c r="R27" s="22" t="s">
        <v>659</v>
      </c>
      <c r="S27" s="22" t="s">
        <v>133</v>
      </c>
      <c r="T27" s="22" t="s">
        <v>746</v>
      </c>
      <c r="U27" s="31">
        <v>45957</v>
      </c>
      <c r="V27" s="26"/>
    </row>
    <row r="28" spans="1:22" s="3" customFormat="1" ht="20.399999999999999">
      <c r="A28" s="22" t="s">
        <v>775</v>
      </c>
      <c r="B28" s="22" t="s">
        <v>311</v>
      </c>
      <c r="C28" s="22" t="s">
        <v>207</v>
      </c>
      <c r="D28" s="22" t="s">
        <v>312</v>
      </c>
      <c r="E28" s="22" t="s">
        <v>313</v>
      </c>
      <c r="F28" s="22" t="s">
        <v>342</v>
      </c>
      <c r="G28" s="22" t="s">
        <v>186</v>
      </c>
      <c r="H28" s="22" t="s">
        <v>315</v>
      </c>
      <c r="I28" s="22"/>
      <c r="J28" s="22" t="s">
        <v>261</v>
      </c>
      <c r="K28" s="22" t="s">
        <v>209</v>
      </c>
      <c r="L28" s="22" t="s">
        <v>121</v>
      </c>
      <c r="M28" s="22" t="s">
        <v>124</v>
      </c>
      <c r="N28" s="22" t="s">
        <v>41</v>
      </c>
      <c r="O28" s="22" t="s">
        <v>273</v>
      </c>
      <c r="P28" s="22" t="s">
        <v>316</v>
      </c>
      <c r="Q28" s="22" t="s">
        <v>343</v>
      </c>
      <c r="R28" s="22" t="s">
        <v>659</v>
      </c>
      <c r="S28" s="22" t="s">
        <v>133</v>
      </c>
      <c r="T28" s="22" t="s">
        <v>746</v>
      </c>
      <c r="U28" s="31">
        <v>45957</v>
      </c>
      <c r="V28" s="26"/>
    </row>
    <row r="29" spans="1:22" s="3" customFormat="1" ht="30.6">
      <c r="A29" s="22" t="s">
        <v>776</v>
      </c>
      <c r="B29" s="22" t="s">
        <v>317</v>
      </c>
      <c r="C29" s="22" t="s">
        <v>207</v>
      </c>
      <c r="D29" s="22" t="s">
        <v>782</v>
      </c>
      <c r="E29" s="22" t="s">
        <v>318</v>
      </c>
      <c r="F29" s="22" t="s">
        <v>319</v>
      </c>
      <c r="G29" s="22" t="s">
        <v>186</v>
      </c>
      <c r="H29" s="22" t="s">
        <v>320</v>
      </c>
      <c r="I29" s="22"/>
      <c r="J29" s="22" t="s">
        <v>779</v>
      </c>
      <c r="K29" s="22" t="s">
        <v>209</v>
      </c>
      <c r="L29" s="22" t="s">
        <v>183</v>
      </c>
      <c r="M29" s="22" t="s">
        <v>124</v>
      </c>
      <c r="N29" s="22" t="s">
        <v>41</v>
      </c>
      <c r="O29" s="22" t="s">
        <v>273</v>
      </c>
      <c r="P29" s="22" t="s">
        <v>321</v>
      </c>
      <c r="Q29" s="22" t="s">
        <v>344</v>
      </c>
      <c r="R29" s="22" t="s">
        <v>659</v>
      </c>
      <c r="S29" s="22" t="s">
        <v>133</v>
      </c>
      <c r="T29" s="22" t="s">
        <v>746</v>
      </c>
      <c r="U29" s="31">
        <v>45957</v>
      </c>
      <c r="V29" s="26"/>
    </row>
    <row r="30" spans="1:22" s="3" customFormat="1" ht="20.399999999999999">
      <c r="A30" s="22" t="s">
        <v>777</v>
      </c>
      <c r="B30" s="22" t="s">
        <v>322</v>
      </c>
      <c r="C30" s="22" t="s">
        <v>207</v>
      </c>
      <c r="D30" s="22" t="s">
        <v>781</v>
      </c>
      <c r="E30" s="22" t="s">
        <v>323</v>
      </c>
      <c r="F30" s="22" t="s">
        <v>324</v>
      </c>
      <c r="G30" s="22" t="s">
        <v>186</v>
      </c>
      <c r="H30" s="22" t="s">
        <v>325</v>
      </c>
      <c r="I30" s="22"/>
      <c r="J30" s="22" t="s">
        <v>780</v>
      </c>
      <c r="K30" s="22" t="s">
        <v>209</v>
      </c>
      <c r="L30" s="22" t="s">
        <v>183</v>
      </c>
      <c r="M30" s="22" t="s">
        <v>124</v>
      </c>
      <c r="N30" s="22" t="s">
        <v>41</v>
      </c>
      <c r="O30" s="22" t="s">
        <v>273</v>
      </c>
      <c r="P30" s="22" t="s">
        <v>326</v>
      </c>
      <c r="Q30" s="22" t="s">
        <v>345</v>
      </c>
      <c r="R30" s="22" t="s">
        <v>659</v>
      </c>
      <c r="S30" s="22" t="s">
        <v>133</v>
      </c>
      <c r="T30" s="22" t="s">
        <v>746</v>
      </c>
      <c r="U30" s="31">
        <v>45957</v>
      </c>
      <c r="V30" s="26"/>
    </row>
    <row r="31" spans="1:22" ht="30.6">
      <c r="A31" s="22" t="s">
        <v>778</v>
      </c>
      <c r="B31" s="22" t="s">
        <v>637</v>
      </c>
      <c r="C31" s="23" t="s">
        <v>61</v>
      </c>
      <c r="D31" s="23" t="s">
        <v>61</v>
      </c>
      <c r="E31" s="30" t="s">
        <v>677</v>
      </c>
      <c r="F31" s="30" t="s">
        <v>102</v>
      </c>
      <c r="G31" s="23" t="s">
        <v>711</v>
      </c>
      <c r="H31" s="30" t="s">
        <v>712</v>
      </c>
      <c r="I31" s="23" t="s">
        <v>738</v>
      </c>
      <c r="J31" s="22" t="s">
        <v>803</v>
      </c>
      <c r="K31" s="30" t="s">
        <v>657</v>
      </c>
      <c r="L31" s="23" t="s">
        <v>122</v>
      </c>
      <c r="M31" s="23" t="s">
        <v>124</v>
      </c>
      <c r="N31" s="23" t="s">
        <v>128</v>
      </c>
      <c r="O31" s="22" t="s">
        <v>588</v>
      </c>
      <c r="P31" s="22" t="s">
        <v>554</v>
      </c>
      <c r="Q31" s="22" t="s">
        <v>522</v>
      </c>
      <c r="R31" s="22" t="s">
        <v>682</v>
      </c>
      <c r="S31" s="22" t="s">
        <v>133</v>
      </c>
      <c r="T31" s="22" t="s">
        <v>746</v>
      </c>
      <c r="U31" s="31">
        <v>45957</v>
      </c>
      <c r="V31" s="35"/>
    </row>
    <row r="32" spans="1:22">
      <c r="A32" s="36"/>
      <c r="B32" s="36"/>
      <c r="C32" s="36"/>
      <c r="D32" s="36"/>
      <c r="E32" s="36"/>
      <c r="F32" s="36"/>
      <c r="G32" s="36"/>
      <c r="H32" s="36"/>
      <c r="I32" s="36"/>
      <c r="J32" s="36"/>
      <c r="K32" s="36"/>
      <c r="L32" s="36"/>
      <c r="M32" s="36"/>
      <c r="N32" s="36"/>
      <c r="O32" s="36"/>
      <c r="P32" s="36"/>
      <c r="Q32" s="36"/>
      <c r="R32" s="36"/>
      <c r="S32" s="36"/>
      <c r="T32" s="36"/>
      <c r="U32" s="36"/>
    </row>
    <row r="41" spans="1:8">
      <c r="A41" s="11"/>
      <c r="B41" s="11"/>
      <c r="C41" s="11"/>
      <c r="H41" s="11"/>
    </row>
    <row r="42" spans="1:8">
      <c r="A42" s="11"/>
      <c r="B42" s="11"/>
      <c r="C42" s="11"/>
      <c r="H42" s="11"/>
    </row>
    <row r="43" spans="1:8">
      <c r="A43" s="11"/>
      <c r="B43" s="11"/>
      <c r="C43" s="11"/>
      <c r="H43" s="11"/>
    </row>
    <row r="44" spans="1:8">
      <c r="A44" s="11"/>
      <c r="B44" s="11"/>
      <c r="C44" s="11"/>
      <c r="H44" s="11"/>
    </row>
    <row r="45" spans="1:8">
      <c r="A45" s="11"/>
      <c r="B45" s="11"/>
      <c r="C45" s="11"/>
      <c r="H45" s="11"/>
    </row>
    <row r="46" spans="1:8">
      <c r="A46" s="11"/>
      <c r="B46" s="11"/>
      <c r="C46" s="11"/>
      <c r="H46" s="11"/>
    </row>
    <row r="47" spans="1:8">
      <c r="A47" s="11"/>
      <c r="B47" s="11"/>
      <c r="C47" s="11"/>
      <c r="H47" s="11"/>
    </row>
    <row r="48" spans="1:8">
      <c r="A48" s="11"/>
      <c r="B48" s="11"/>
      <c r="C48" s="11"/>
      <c r="H48" s="11"/>
    </row>
    <row r="49" spans="1:14">
      <c r="A49" s="11"/>
      <c r="B49" s="11"/>
      <c r="C49" s="11"/>
      <c r="H49" s="11"/>
    </row>
    <row r="50" spans="1:14">
      <c r="A50" s="11"/>
      <c r="B50" s="11"/>
      <c r="C50" s="11"/>
      <c r="H50" s="11"/>
    </row>
    <row r="51" spans="1:14">
      <c r="A51" s="11"/>
      <c r="B51" s="11"/>
      <c r="C51" s="11"/>
      <c r="H51" s="11"/>
    </row>
    <row r="52" spans="1:14">
      <c r="A52" s="11"/>
      <c r="B52" s="11"/>
      <c r="C52" s="11"/>
      <c r="H52" s="11"/>
    </row>
    <row r="53" spans="1:14">
      <c r="A53" s="11"/>
      <c r="B53" s="11"/>
      <c r="C53" s="11"/>
      <c r="H53" s="11"/>
      <c r="L53" s="12"/>
      <c r="M53" s="11"/>
      <c r="N53" s="11"/>
    </row>
    <row r="54" spans="1:14">
      <c r="A54" s="11"/>
      <c r="B54" s="11"/>
      <c r="C54" s="11"/>
      <c r="L54" s="12"/>
      <c r="M54" s="11"/>
      <c r="N54" s="11"/>
    </row>
    <row r="55" spans="1:14">
      <c r="A55" s="11"/>
      <c r="B55" s="11"/>
      <c r="C55" s="11"/>
      <c r="L55" s="12"/>
      <c r="M55" s="11"/>
      <c r="N55" s="11"/>
    </row>
    <row r="56" spans="1:14">
      <c r="A56" s="11"/>
      <c r="B56" s="11"/>
      <c r="C56" s="11"/>
      <c r="L56" s="12"/>
      <c r="M56" s="11"/>
      <c r="N56" s="11"/>
    </row>
    <row r="57" spans="1:14">
      <c r="A57" s="11"/>
      <c r="B57" s="11"/>
      <c r="C57" s="11"/>
      <c r="L57" s="12"/>
      <c r="M57" s="11"/>
      <c r="N57" s="11"/>
    </row>
    <row r="58" spans="1:14">
      <c r="A58" s="11"/>
      <c r="B58" s="11"/>
      <c r="C58" s="11"/>
      <c r="L58" s="12"/>
      <c r="M58" s="11"/>
      <c r="N58" s="11"/>
    </row>
    <row r="59" spans="1:14">
      <c r="A59" s="11"/>
      <c r="B59" s="11"/>
      <c r="C59" s="11"/>
    </row>
    <row r="60" spans="1:14">
      <c r="A60" s="11"/>
      <c r="B60" s="11"/>
      <c r="C60" s="11"/>
    </row>
    <row r="61" spans="1:14">
      <c r="A61" s="11"/>
      <c r="B61" s="11"/>
      <c r="C61" s="11"/>
    </row>
    <row r="62" spans="1:14">
      <c r="A62" s="11"/>
      <c r="B62" s="11"/>
      <c r="C62" s="11"/>
    </row>
    <row r="63" spans="1:14">
      <c r="A63" s="11"/>
      <c r="B63" s="11"/>
      <c r="C63" s="11"/>
    </row>
    <row r="64" spans="1:14">
      <c r="A64" s="11"/>
      <c r="B64" s="11"/>
      <c r="C64" s="11"/>
    </row>
    <row r="65" spans="1:9">
      <c r="A65" s="11"/>
      <c r="B65" s="11"/>
      <c r="C65" s="11"/>
    </row>
    <row r="66" spans="1:9">
      <c r="A66" s="11"/>
      <c r="B66" s="11"/>
      <c r="C66" s="11"/>
    </row>
    <row r="67" spans="1:9">
      <c r="A67" s="11"/>
      <c r="B67" s="11"/>
      <c r="C67" s="11"/>
    </row>
    <row r="68" spans="1:9">
      <c r="A68" s="11"/>
      <c r="B68" s="11"/>
      <c r="C68" s="11"/>
    </row>
    <row r="69" spans="1:9">
      <c r="A69" s="11"/>
      <c r="B69" s="11"/>
      <c r="C69" s="11"/>
    </row>
    <row r="70" spans="1:9">
      <c r="A70" s="11"/>
      <c r="B70" s="11"/>
      <c r="C70" s="11"/>
    </row>
    <row r="71" spans="1:9">
      <c r="A71" s="11"/>
      <c r="B71" s="11"/>
      <c r="C71" s="11"/>
      <c r="G71" s="13"/>
      <c r="H71" s="13"/>
      <c r="I71" s="19"/>
    </row>
    <row r="72" spans="1:9">
      <c r="A72" s="11"/>
      <c r="B72" s="11"/>
      <c r="C72" s="11"/>
      <c r="G72" s="12"/>
      <c r="H72" s="11"/>
      <c r="I72" s="18"/>
    </row>
    <row r="73" spans="1:9">
      <c r="A73" s="11"/>
      <c r="B73" s="11"/>
      <c r="C73" s="11"/>
      <c r="G73" s="12"/>
      <c r="H73" s="11"/>
      <c r="I73" s="18"/>
    </row>
    <row r="74" spans="1:9">
      <c r="A74" s="11"/>
      <c r="B74" s="11"/>
      <c r="C74" s="11"/>
      <c r="G74" s="12"/>
      <c r="H74" s="11"/>
      <c r="I74" s="18"/>
    </row>
    <row r="75" spans="1:9">
      <c r="A75" s="11"/>
      <c r="B75" s="11"/>
      <c r="C75" s="11"/>
      <c r="G75" s="12"/>
      <c r="H75" s="11"/>
      <c r="I75" s="18"/>
    </row>
    <row r="76" spans="1:9">
      <c r="A76" s="11"/>
      <c r="B76" s="11"/>
      <c r="C76" s="11"/>
      <c r="G76" s="12"/>
      <c r="H76" s="11"/>
      <c r="I76" s="18"/>
    </row>
    <row r="77" spans="1:9">
      <c r="A77" s="11"/>
      <c r="B77" s="11"/>
      <c r="C77" s="11"/>
      <c r="G77" s="12"/>
      <c r="H77" s="11"/>
      <c r="I77" s="18"/>
    </row>
    <row r="78" spans="1:9">
      <c r="A78" s="11"/>
      <c r="B78" s="11"/>
      <c r="C78" s="11"/>
      <c r="G78" s="12"/>
      <c r="H78" s="11"/>
      <c r="I78" s="18"/>
    </row>
    <row r="79" spans="1:9">
      <c r="A79" s="11"/>
      <c r="B79" s="11"/>
      <c r="C79" s="11"/>
      <c r="G79" s="12"/>
      <c r="H79" s="11"/>
      <c r="I79" s="18"/>
    </row>
    <row r="80" spans="1:9">
      <c r="G80" s="12"/>
      <c r="H80" s="11"/>
      <c r="I80" s="18"/>
    </row>
  </sheetData>
  <phoneticPr fontId="7" type="noConversion"/>
  <conditionalFormatting sqref="L2:L31">
    <cfRule type="containsText" dxfId="103" priority="20" operator="containsText" text="Pass">
      <formula>NOT(ISERROR(SEARCH("Pass",L2)))</formula>
    </cfRule>
    <cfRule type="containsText" dxfId="102" priority="21" operator="containsText" text="Fail">
      <formula>NOT(ISERROR(SEARCH("Fail",L2)))</formula>
    </cfRule>
    <cfRule type="containsText" dxfId="101" priority="22" operator="containsText" text="Not Run">
      <formula>NOT(ISERROR(SEARCH("Not Run",L2)))</formula>
    </cfRule>
    <cfRule type="containsText" dxfId="100" priority="23" operator="containsText" text="Blocked">
      <formula>NOT(ISERROR(SEARCH("Blocked",L2)))</formula>
    </cfRule>
    <cfRule type="containsText" dxfId="99" priority="24" operator="containsText" text="In Progress">
      <formula>NOT(ISERROR(SEARCH("In Progress",L2)))</formula>
    </cfRule>
    <cfRule type="containsText" dxfId="98" priority="35" operator="containsText" text="Fail"/>
    <cfRule type="containsText" dxfId="97" priority="36" operator="containsText" text="Not Run"/>
    <cfRule type="containsText" dxfId="96" priority="37" operator="containsText" text="Blocked"/>
    <cfRule type="containsText" dxfId="95" priority="38" operator="containsText" text="In Progress"/>
  </conditionalFormatting>
  <conditionalFormatting sqref="L2:M31">
    <cfRule type="containsText" dxfId="94" priority="34" operator="containsText" text="Low"/>
  </conditionalFormatting>
  <conditionalFormatting sqref="M2:M31">
    <cfRule type="containsText" dxfId="93" priority="17" operator="containsText" text="High">
      <formula>NOT(ISERROR(SEARCH("High",M2)))</formula>
    </cfRule>
    <cfRule type="containsText" dxfId="92" priority="18" operator="containsText" text="Medium">
      <formula>NOT(ISERROR(SEARCH("Medium",M2)))</formula>
    </cfRule>
    <cfRule type="containsText" dxfId="91" priority="19" operator="containsText" text="Low">
      <formula>NOT(ISERROR(SEARCH("Low",M2)))</formula>
    </cfRule>
    <cfRule type="containsText" dxfId="90" priority="32" operator="containsText" text="High"/>
    <cfRule type="containsText" dxfId="89" priority="33" operator="containsText" text="Medium"/>
  </conditionalFormatting>
  <conditionalFormatting sqref="N2:N31">
    <cfRule type="containsText" dxfId="88" priority="25" operator="containsText" text="Positive">
      <formula>NOT(ISERROR(SEARCH("Positive",N2)))</formula>
    </cfRule>
    <cfRule type="containsText" dxfId="87" priority="26" operator="containsText" text="Negative">
      <formula>NOT(ISERROR(SEARCH("Negative",N2)))</formula>
    </cfRule>
    <cfRule type="containsText" dxfId="86" priority="27" operator="containsText" text="Destructive">
      <formula>NOT(ISERROR(SEARCH("Destructive",N2)))</formula>
    </cfRule>
    <cfRule type="containsText" dxfId="85" priority="28" operator="containsText" text="Accessibility">
      <formula>NOT(ISERROR(SEARCH("Accessibility",N2)))</formula>
    </cfRule>
    <cfRule type="containsText" dxfId="84" priority="29" operator="containsText" text="API">
      <formula>NOT(ISERROR(SEARCH("API",N2)))</formula>
    </cfRule>
    <cfRule type="containsText" dxfId="83" priority="30" operator="containsText" text="Usability">
      <formula>NOT(ISERROR(SEARCH("Usability",N2)))</formula>
    </cfRule>
    <cfRule type="containsText" dxfId="82" priority="31" operator="containsText" text="Functional">
      <formula>NOT(ISERROR(SEARCH("Functional",N2)))</formula>
    </cfRule>
    <cfRule type="containsText" dxfId="81" priority="39" operator="containsText" text="Positive"/>
    <cfRule type="containsText" dxfId="80" priority="40" operator="containsText" text="Negative"/>
    <cfRule type="containsText" dxfId="79" priority="41" operator="containsText" text="Destructive"/>
    <cfRule type="containsText" dxfId="78" priority="42" operator="containsText" text="Accessibility"/>
    <cfRule type="containsText" dxfId="77" priority="43" operator="containsText" text="API"/>
    <cfRule type="containsText" dxfId="76" priority="44" operator="containsText" text="Usability"/>
    <cfRule type="containsText" dxfId="75" priority="45" operator="containsText" text="Functional"/>
  </conditionalFormatting>
  <conditionalFormatting sqref="L31">
    <cfRule type="containsText" dxfId="74" priority="4" operator="containsText" text="Pass">
      <formula>NOT(ISERROR(SEARCH("Pass",L31)))</formula>
    </cfRule>
    <cfRule type="containsText" dxfId="73" priority="5" operator="containsText" text="Fail">
      <formula>NOT(ISERROR(SEARCH("Fail",L31)))</formula>
    </cfRule>
    <cfRule type="containsText" dxfId="72" priority="6" operator="containsText" text="Not Run">
      <formula>NOT(ISERROR(SEARCH("Not Run",L31)))</formula>
    </cfRule>
    <cfRule type="containsText" dxfId="71" priority="7" operator="containsText" text="Blocked">
      <formula>NOT(ISERROR(SEARCH("Blocked",L31)))</formula>
    </cfRule>
    <cfRule type="containsText" dxfId="70" priority="8" operator="containsText" text="In Progress">
      <formula>NOT(ISERROR(SEARCH("In Progress",L31)))</formula>
    </cfRule>
  </conditionalFormatting>
  <conditionalFormatting sqref="M31">
    <cfRule type="containsText" dxfId="69" priority="1" operator="containsText" text="High">
      <formula>NOT(ISERROR(SEARCH("High",M31)))</formula>
    </cfRule>
    <cfRule type="containsText" dxfId="68" priority="2" operator="containsText" text="Medium">
      <formula>NOT(ISERROR(SEARCH("Medium",M31)))</formula>
    </cfRule>
    <cfRule type="containsText" dxfId="67" priority="3" operator="containsText" text="Low">
      <formula>NOT(ISERROR(SEARCH("Low",M31)))</formula>
    </cfRule>
  </conditionalFormatting>
  <conditionalFormatting sqref="N31">
    <cfRule type="containsText" dxfId="66" priority="9" operator="containsText" text="Positive">
      <formula>NOT(ISERROR(SEARCH("Positive",N31)))</formula>
    </cfRule>
    <cfRule type="containsText" dxfId="65" priority="10" operator="containsText" text="Negative">
      <formula>NOT(ISERROR(SEARCH("Negative",N31)))</formula>
    </cfRule>
    <cfRule type="containsText" dxfId="64" priority="11" operator="containsText" text="Destructive">
      <formula>NOT(ISERROR(SEARCH("Destructive",N31)))</formula>
    </cfRule>
    <cfRule type="containsText" dxfId="63" priority="12" operator="containsText" text="Accessibility">
      <formula>NOT(ISERROR(SEARCH("Accessibility",N31)))</formula>
    </cfRule>
    <cfRule type="containsText" dxfId="62" priority="13" operator="containsText" text="API">
      <formula>NOT(ISERROR(SEARCH("API",N31)))</formula>
    </cfRule>
    <cfRule type="containsText" dxfId="61" priority="14" operator="containsText" text="Usability">
      <formula>NOT(ISERROR(SEARCH("Usability",N31)))</formula>
    </cfRule>
    <cfRule type="containsText" dxfId="60" priority="15" operator="containsText" text="Functional">
      <formula>NOT(ISERROR(SEARCH("Functional",N31)))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D85B-EC13-45FD-9C53-6F4E8FAB57FA}">
  <sheetPr>
    <tabColor theme="5" tint="0.39997558519241921"/>
  </sheetPr>
  <dimension ref="A1:J47"/>
  <sheetViews>
    <sheetView workbookViewId="0">
      <pane ySplit="1" topLeftCell="A2" activePane="bottomLeft" state="frozen"/>
      <selection pane="bottomLeft" activeCell="I4" sqref="I4"/>
    </sheetView>
  </sheetViews>
  <sheetFormatPr defaultColWidth="21.109375" defaultRowHeight="10.199999999999999"/>
  <cols>
    <col min="1" max="5" width="21.109375" style="24"/>
    <col min="6" max="6" width="10.33203125" style="24" customWidth="1"/>
    <col min="7" max="7" width="6.6640625" style="24" customWidth="1"/>
    <col min="8" max="8" width="13.88671875" style="24" customWidth="1"/>
    <col min="9" max="16384" width="21.109375" style="24"/>
  </cols>
  <sheetData>
    <row r="1" spans="1:10" s="15" customFormat="1">
      <c r="A1" s="17" t="s">
        <v>598</v>
      </c>
      <c r="B1" s="17" t="s">
        <v>1</v>
      </c>
      <c r="C1" s="17" t="s">
        <v>599</v>
      </c>
      <c r="D1" s="17" t="s">
        <v>600</v>
      </c>
      <c r="E1" s="17" t="s">
        <v>601</v>
      </c>
      <c r="F1" s="17" t="s">
        <v>602</v>
      </c>
      <c r="G1" s="17" t="s">
        <v>11</v>
      </c>
      <c r="H1" s="17" t="s">
        <v>603</v>
      </c>
      <c r="I1" s="17" t="s">
        <v>604</v>
      </c>
      <c r="J1" s="17" t="s">
        <v>605</v>
      </c>
    </row>
    <row r="2" spans="1:10" s="15" customFormat="1" ht="30.6">
      <c r="A2" s="15" t="s">
        <v>606</v>
      </c>
      <c r="B2" s="15" t="s">
        <v>633</v>
      </c>
      <c r="C2" s="15" t="s">
        <v>607</v>
      </c>
      <c r="D2" s="16" t="s">
        <v>922</v>
      </c>
      <c r="E2" s="15" t="s">
        <v>608</v>
      </c>
      <c r="F2" s="15" t="s">
        <v>123</v>
      </c>
      <c r="G2" s="15" t="s">
        <v>609</v>
      </c>
      <c r="H2" s="15" t="s">
        <v>131</v>
      </c>
      <c r="I2" s="15" t="s">
        <v>616</v>
      </c>
      <c r="J2" s="15" t="s">
        <v>810</v>
      </c>
    </row>
    <row r="3" spans="1:10" ht="30.6">
      <c r="A3" s="15" t="s">
        <v>610</v>
      </c>
      <c r="B3" s="15" t="s">
        <v>633</v>
      </c>
      <c r="C3" s="15" t="s">
        <v>611</v>
      </c>
      <c r="D3" s="15" t="s">
        <v>811</v>
      </c>
      <c r="E3" s="15" t="s">
        <v>612</v>
      </c>
      <c r="F3" s="15" t="s">
        <v>124</v>
      </c>
      <c r="G3" s="15" t="s">
        <v>609</v>
      </c>
      <c r="H3" s="15" t="s">
        <v>132</v>
      </c>
      <c r="I3" s="15" t="s">
        <v>613</v>
      </c>
      <c r="J3" s="15" t="s">
        <v>812</v>
      </c>
    </row>
    <row r="4" spans="1:10" ht="30.6">
      <c r="A4" s="15" t="s">
        <v>614</v>
      </c>
      <c r="B4" s="15" t="s">
        <v>635</v>
      </c>
      <c r="C4" s="15" t="s">
        <v>813</v>
      </c>
      <c r="D4" s="15" t="s">
        <v>814</v>
      </c>
      <c r="E4" s="15" t="s">
        <v>815</v>
      </c>
      <c r="F4" s="15" t="s">
        <v>123</v>
      </c>
      <c r="G4" s="15" t="s">
        <v>609</v>
      </c>
      <c r="H4" s="15" t="s">
        <v>131</v>
      </c>
      <c r="I4" s="15" t="s">
        <v>816</v>
      </c>
      <c r="J4" s="15" t="s">
        <v>817</v>
      </c>
    </row>
    <row r="5" spans="1:10" ht="20.399999999999999">
      <c r="A5" s="15" t="s">
        <v>818</v>
      </c>
      <c r="B5" s="15" t="s">
        <v>819</v>
      </c>
      <c r="C5" s="15" t="s">
        <v>820</v>
      </c>
      <c r="D5" s="15" t="s">
        <v>821</v>
      </c>
      <c r="E5" s="15" t="s">
        <v>822</v>
      </c>
      <c r="F5" s="15" t="s">
        <v>123</v>
      </c>
      <c r="G5" s="15" t="s">
        <v>609</v>
      </c>
      <c r="H5" s="15" t="s">
        <v>131</v>
      </c>
      <c r="I5" s="15" t="s">
        <v>823</v>
      </c>
      <c r="J5" s="15" t="s">
        <v>824</v>
      </c>
    </row>
    <row r="6" spans="1:10" ht="20.399999999999999">
      <c r="A6" s="15" t="s">
        <v>805</v>
      </c>
      <c r="B6" s="15" t="s">
        <v>639</v>
      </c>
      <c r="C6" s="15" t="s">
        <v>825</v>
      </c>
      <c r="D6" s="15" t="s">
        <v>826</v>
      </c>
      <c r="E6" s="15" t="s">
        <v>827</v>
      </c>
      <c r="F6" s="15" t="s">
        <v>123</v>
      </c>
      <c r="G6" s="15" t="s">
        <v>609</v>
      </c>
      <c r="H6" s="15" t="s">
        <v>131</v>
      </c>
      <c r="I6" s="15" t="s">
        <v>828</v>
      </c>
      <c r="J6" s="15" t="s">
        <v>829</v>
      </c>
    </row>
    <row r="7" spans="1:10" ht="20.399999999999999">
      <c r="A7" s="15" t="s">
        <v>806</v>
      </c>
      <c r="B7" s="15" t="s">
        <v>639</v>
      </c>
      <c r="C7" s="15" t="s">
        <v>830</v>
      </c>
      <c r="D7" s="15" t="s">
        <v>831</v>
      </c>
      <c r="E7" s="15" t="s">
        <v>832</v>
      </c>
      <c r="F7" s="15" t="s">
        <v>124</v>
      </c>
      <c r="G7" s="15" t="s">
        <v>609</v>
      </c>
      <c r="H7" s="15" t="s">
        <v>833</v>
      </c>
      <c r="I7" s="15" t="s">
        <v>834</v>
      </c>
      <c r="J7" s="15" t="s">
        <v>835</v>
      </c>
    </row>
    <row r="8" spans="1:10" ht="20.399999999999999">
      <c r="A8" s="15" t="s">
        <v>615</v>
      </c>
      <c r="B8" s="15" t="s">
        <v>639</v>
      </c>
      <c r="C8" s="15" t="s">
        <v>836</v>
      </c>
      <c r="D8" s="15" t="s">
        <v>837</v>
      </c>
      <c r="E8" s="15" t="s">
        <v>838</v>
      </c>
      <c r="F8" s="15" t="s">
        <v>124</v>
      </c>
      <c r="G8" s="15" t="s">
        <v>609</v>
      </c>
      <c r="H8" s="15" t="s">
        <v>833</v>
      </c>
      <c r="I8" s="15" t="s">
        <v>839</v>
      </c>
      <c r="J8" s="15" t="s">
        <v>840</v>
      </c>
    </row>
    <row r="9" spans="1:10" ht="20.399999999999999">
      <c r="A9" s="15" t="s">
        <v>807</v>
      </c>
      <c r="B9" s="15" t="s">
        <v>640</v>
      </c>
      <c r="C9" s="15" t="s">
        <v>841</v>
      </c>
      <c r="D9" s="15" t="s">
        <v>842</v>
      </c>
      <c r="E9" s="15" t="s">
        <v>843</v>
      </c>
      <c r="F9" s="15" t="s">
        <v>124</v>
      </c>
      <c r="G9" s="15" t="s">
        <v>609</v>
      </c>
      <c r="H9" s="15" t="s">
        <v>833</v>
      </c>
      <c r="I9" s="15" t="s">
        <v>844</v>
      </c>
      <c r="J9" s="15" t="s">
        <v>845</v>
      </c>
    </row>
    <row r="10" spans="1:10" ht="20.399999999999999">
      <c r="A10" s="15" t="s">
        <v>808</v>
      </c>
      <c r="B10" s="15" t="s">
        <v>846</v>
      </c>
      <c r="C10" s="15" t="s">
        <v>656</v>
      </c>
      <c r="D10" s="15" t="s">
        <v>847</v>
      </c>
      <c r="E10" s="15" t="s">
        <v>848</v>
      </c>
      <c r="F10" s="15" t="s">
        <v>123</v>
      </c>
      <c r="G10" s="15" t="s">
        <v>609</v>
      </c>
      <c r="H10" s="15" t="s">
        <v>131</v>
      </c>
      <c r="I10" s="15" t="s">
        <v>849</v>
      </c>
      <c r="J10" s="15" t="s">
        <v>850</v>
      </c>
    </row>
    <row r="11" spans="1:10" ht="20.399999999999999">
      <c r="A11" s="15" t="s">
        <v>809</v>
      </c>
      <c r="B11" s="15" t="s">
        <v>851</v>
      </c>
      <c r="C11" s="15" t="s">
        <v>618</v>
      </c>
      <c r="D11" s="15" t="s">
        <v>923</v>
      </c>
      <c r="E11" s="15" t="s">
        <v>852</v>
      </c>
      <c r="F11" s="15" t="s">
        <v>123</v>
      </c>
      <c r="G11" s="15" t="s">
        <v>609</v>
      </c>
      <c r="H11" s="15" t="s">
        <v>131</v>
      </c>
      <c r="I11" s="15" t="s">
        <v>853</v>
      </c>
      <c r="J11" s="15" t="s">
        <v>854</v>
      </c>
    </row>
    <row r="12" spans="1:10" ht="20.399999999999999">
      <c r="A12" s="15" t="s">
        <v>855</v>
      </c>
      <c r="B12" s="15" t="s">
        <v>851</v>
      </c>
      <c r="C12" s="15" t="s">
        <v>617</v>
      </c>
      <c r="D12" s="15" t="s">
        <v>924</v>
      </c>
      <c r="E12" s="15" t="s">
        <v>856</v>
      </c>
      <c r="F12" s="15" t="s">
        <v>123</v>
      </c>
      <c r="G12" s="15" t="s">
        <v>609</v>
      </c>
      <c r="H12" s="15" t="s">
        <v>131</v>
      </c>
      <c r="I12" s="15" t="s">
        <v>857</v>
      </c>
      <c r="J12" s="15" t="s">
        <v>858</v>
      </c>
    </row>
    <row r="13" spans="1:10" ht="20.399999999999999">
      <c r="A13" s="15" t="s">
        <v>859</v>
      </c>
      <c r="B13" s="15" t="s">
        <v>41</v>
      </c>
      <c r="C13" s="15" t="s">
        <v>860</v>
      </c>
      <c r="D13" s="15" t="s">
        <v>861</v>
      </c>
      <c r="E13" s="15" t="s">
        <v>862</v>
      </c>
      <c r="F13" s="15" t="s">
        <v>124</v>
      </c>
      <c r="G13" s="15" t="s">
        <v>609</v>
      </c>
      <c r="H13" s="15" t="s">
        <v>132</v>
      </c>
      <c r="I13" s="15" t="s">
        <v>863</v>
      </c>
      <c r="J13" s="15" t="s">
        <v>864</v>
      </c>
    </row>
    <row r="14" spans="1:10" ht="30.6">
      <c r="A14" s="15" t="s">
        <v>865</v>
      </c>
      <c r="B14" s="15" t="s">
        <v>41</v>
      </c>
      <c r="C14" s="15" t="s">
        <v>866</v>
      </c>
      <c r="D14" s="15" t="s">
        <v>867</v>
      </c>
      <c r="E14" s="15" t="s">
        <v>868</v>
      </c>
      <c r="F14" s="15" t="s">
        <v>124</v>
      </c>
      <c r="G14" s="15" t="s">
        <v>609</v>
      </c>
      <c r="H14" s="15" t="s">
        <v>132</v>
      </c>
      <c r="I14" s="15" t="s">
        <v>869</v>
      </c>
      <c r="J14" s="15" t="s">
        <v>870</v>
      </c>
    </row>
    <row r="15" spans="1:10" ht="30.6">
      <c r="A15" s="15" t="s">
        <v>648</v>
      </c>
      <c r="B15" s="15" t="s">
        <v>633</v>
      </c>
      <c r="C15" s="15" t="s">
        <v>871</v>
      </c>
      <c r="D15" s="16" t="s">
        <v>925</v>
      </c>
      <c r="E15" s="15" t="s">
        <v>872</v>
      </c>
      <c r="F15" s="15" t="s">
        <v>123</v>
      </c>
      <c r="G15" s="15" t="s">
        <v>609</v>
      </c>
      <c r="H15" s="15" t="s">
        <v>658</v>
      </c>
      <c r="I15" s="15" t="s">
        <v>926</v>
      </c>
      <c r="J15" s="15" t="s">
        <v>873</v>
      </c>
    </row>
    <row r="16" spans="1:10" ht="20.399999999999999">
      <c r="A16" s="15" t="s">
        <v>649</v>
      </c>
      <c r="B16" s="15" t="s">
        <v>635</v>
      </c>
      <c r="C16" s="15" t="s">
        <v>874</v>
      </c>
      <c r="D16" s="15" t="s">
        <v>875</v>
      </c>
      <c r="E16" s="15" t="s">
        <v>876</v>
      </c>
      <c r="F16" s="15" t="s">
        <v>123</v>
      </c>
      <c r="G16" s="15" t="s">
        <v>609</v>
      </c>
      <c r="H16" s="15" t="s">
        <v>658</v>
      </c>
      <c r="I16" s="15" t="s">
        <v>877</v>
      </c>
      <c r="J16" s="15" t="s">
        <v>878</v>
      </c>
    </row>
    <row r="17" spans="1:10" ht="20.399999999999999">
      <c r="A17" s="15" t="s">
        <v>650</v>
      </c>
      <c r="B17" s="15" t="s">
        <v>635</v>
      </c>
      <c r="C17" s="15" t="s">
        <v>879</v>
      </c>
      <c r="D17" s="15" t="s">
        <v>880</v>
      </c>
      <c r="E17" s="15" t="s">
        <v>876</v>
      </c>
      <c r="F17" s="15" t="s">
        <v>123</v>
      </c>
      <c r="G17" s="15" t="s">
        <v>609</v>
      </c>
      <c r="H17" s="15" t="s">
        <v>658</v>
      </c>
      <c r="I17" s="15" t="s">
        <v>881</v>
      </c>
      <c r="J17" s="15" t="s">
        <v>882</v>
      </c>
    </row>
    <row r="18" spans="1:10" ht="20.399999999999999">
      <c r="A18" s="15" t="s">
        <v>651</v>
      </c>
      <c r="B18" s="15" t="s">
        <v>633</v>
      </c>
      <c r="C18" s="15" t="s">
        <v>883</v>
      </c>
      <c r="D18" s="15" t="s">
        <v>884</v>
      </c>
      <c r="E18" s="15" t="s">
        <v>885</v>
      </c>
      <c r="F18" s="15" t="s">
        <v>123</v>
      </c>
      <c r="G18" s="15" t="s">
        <v>609</v>
      </c>
      <c r="H18" s="15" t="s">
        <v>682</v>
      </c>
      <c r="I18" s="15" t="s">
        <v>886</v>
      </c>
      <c r="J18" s="15" t="s">
        <v>887</v>
      </c>
    </row>
    <row r="19" spans="1:10" ht="30.6">
      <c r="A19" s="15" t="s">
        <v>652</v>
      </c>
      <c r="B19" s="15" t="s">
        <v>888</v>
      </c>
      <c r="C19" s="15" t="s">
        <v>889</v>
      </c>
      <c r="D19" s="15" t="s">
        <v>890</v>
      </c>
      <c r="E19" s="15" t="s">
        <v>891</v>
      </c>
      <c r="F19" s="15" t="s">
        <v>124</v>
      </c>
      <c r="G19" s="15" t="s">
        <v>609</v>
      </c>
      <c r="H19" s="15" t="s">
        <v>682</v>
      </c>
      <c r="I19" s="15" t="s">
        <v>927</v>
      </c>
      <c r="J19" s="15" t="s">
        <v>892</v>
      </c>
    </row>
    <row r="20" spans="1:10" ht="20.399999999999999">
      <c r="A20" s="15" t="s">
        <v>653</v>
      </c>
      <c r="B20" s="15" t="s">
        <v>893</v>
      </c>
      <c r="C20" s="15" t="s">
        <v>894</v>
      </c>
      <c r="D20" s="15" t="s">
        <v>895</v>
      </c>
      <c r="E20" s="15" t="s">
        <v>896</v>
      </c>
      <c r="F20" s="15" t="s">
        <v>123</v>
      </c>
      <c r="G20" s="15" t="s">
        <v>609</v>
      </c>
      <c r="H20" s="15" t="s">
        <v>658</v>
      </c>
      <c r="I20" s="15" t="s">
        <v>897</v>
      </c>
      <c r="J20" s="15" t="s">
        <v>898</v>
      </c>
    </row>
    <row r="21" spans="1:10" ht="20.399999999999999">
      <c r="A21" s="15" t="s">
        <v>654</v>
      </c>
      <c r="B21" s="15" t="s">
        <v>899</v>
      </c>
      <c r="C21" s="15" t="s">
        <v>655</v>
      </c>
      <c r="D21" s="15" t="s">
        <v>900</v>
      </c>
      <c r="E21" s="15" t="s">
        <v>901</v>
      </c>
      <c r="F21" s="15" t="s">
        <v>123</v>
      </c>
      <c r="G21" s="15" t="s">
        <v>609</v>
      </c>
      <c r="H21" s="15" t="s">
        <v>658</v>
      </c>
      <c r="I21" s="15" t="s">
        <v>902</v>
      </c>
      <c r="J21" s="15" t="s">
        <v>903</v>
      </c>
    </row>
    <row r="22" spans="1:10" ht="20.399999999999999">
      <c r="A22" s="15" t="s">
        <v>904</v>
      </c>
      <c r="B22" s="15" t="s">
        <v>905</v>
      </c>
      <c r="C22" s="15" t="s">
        <v>906</v>
      </c>
      <c r="D22" s="15" t="s">
        <v>907</v>
      </c>
      <c r="E22" s="15" t="s">
        <v>908</v>
      </c>
      <c r="F22" s="15" t="s">
        <v>123</v>
      </c>
      <c r="G22" s="15" t="s">
        <v>609</v>
      </c>
      <c r="H22" s="15" t="s">
        <v>658</v>
      </c>
      <c r="I22" s="15" t="s">
        <v>909</v>
      </c>
      <c r="J22" s="15" t="s">
        <v>910</v>
      </c>
    </row>
    <row r="23" spans="1:10" ht="20.399999999999999">
      <c r="A23" s="15" t="s">
        <v>911</v>
      </c>
      <c r="B23" s="15" t="s">
        <v>41</v>
      </c>
      <c r="C23" s="15" t="s">
        <v>912</v>
      </c>
      <c r="D23" s="15" t="s">
        <v>913</v>
      </c>
      <c r="E23" s="15" t="s">
        <v>914</v>
      </c>
      <c r="F23" s="15" t="s">
        <v>124</v>
      </c>
      <c r="G23" s="15" t="s">
        <v>609</v>
      </c>
      <c r="H23" s="15" t="s">
        <v>659</v>
      </c>
      <c r="I23" s="15" t="s">
        <v>915</v>
      </c>
      <c r="J23" s="15" t="s">
        <v>916</v>
      </c>
    </row>
    <row r="24" spans="1:10" ht="30.6">
      <c r="A24" s="15" t="s">
        <v>917</v>
      </c>
      <c r="B24" s="15" t="s">
        <v>41</v>
      </c>
      <c r="C24" s="15" t="s">
        <v>866</v>
      </c>
      <c r="D24" s="15" t="s">
        <v>918</v>
      </c>
      <c r="E24" s="15" t="s">
        <v>919</v>
      </c>
      <c r="F24" s="15" t="s">
        <v>124</v>
      </c>
      <c r="G24" s="15" t="s">
        <v>609</v>
      </c>
      <c r="H24" s="15" t="s">
        <v>659</v>
      </c>
      <c r="I24" s="15" t="s">
        <v>920</v>
      </c>
      <c r="J24" s="15" t="s">
        <v>921</v>
      </c>
    </row>
    <row r="25" spans="1:10">
      <c r="A25" s="15"/>
      <c r="B25" s="15"/>
      <c r="C25" s="15"/>
      <c r="D25" s="15"/>
      <c r="E25" s="15"/>
      <c r="F25" s="15"/>
      <c r="G25" s="15"/>
      <c r="H25" s="15"/>
      <c r="I25" s="15"/>
      <c r="J25" s="15"/>
    </row>
    <row r="26" spans="1:10">
      <c r="A26" s="15"/>
      <c r="B26" s="15"/>
      <c r="C26" s="15"/>
      <c r="D26" s="15"/>
      <c r="E26" s="15"/>
      <c r="F26" s="15"/>
      <c r="G26" s="15"/>
      <c r="H26" s="15"/>
      <c r="I26" s="15"/>
      <c r="J26" s="15"/>
    </row>
    <row r="27" spans="1:10">
      <c r="A27" s="15"/>
      <c r="B27" s="15"/>
      <c r="C27" s="15"/>
      <c r="D27" s="15"/>
      <c r="E27" s="15"/>
      <c r="F27" s="15"/>
      <c r="G27" s="15"/>
      <c r="H27" s="15"/>
      <c r="I27" s="15"/>
      <c r="J27" s="15"/>
    </row>
    <row r="28" spans="1:10">
      <c r="A28" s="15"/>
      <c r="B28" s="15"/>
      <c r="C28" s="15"/>
      <c r="D28" s="15"/>
      <c r="E28" s="15"/>
      <c r="F28" s="15"/>
      <c r="G28" s="15"/>
      <c r="H28" s="15"/>
      <c r="I28" s="15"/>
      <c r="J28" s="15"/>
    </row>
    <row r="29" spans="1:10">
      <c r="A29" s="15"/>
      <c r="B29" s="15"/>
      <c r="C29" s="15"/>
      <c r="D29" s="15"/>
      <c r="E29" s="15"/>
      <c r="F29" s="15"/>
      <c r="G29" s="15"/>
      <c r="H29" s="15"/>
      <c r="I29" s="15"/>
      <c r="J29" s="15"/>
    </row>
    <row r="30" spans="1:10">
      <c r="A30" s="15"/>
      <c r="B30" s="15"/>
      <c r="C30" s="15"/>
      <c r="D30" s="15"/>
      <c r="E30" s="15"/>
      <c r="F30" s="15"/>
      <c r="G30" s="15"/>
      <c r="H30" s="15"/>
      <c r="I30" s="15"/>
      <c r="J30" s="15"/>
    </row>
    <row r="31" spans="1:10">
      <c r="A31" s="15"/>
      <c r="B31" s="15"/>
      <c r="C31" s="15"/>
      <c r="D31" s="15"/>
      <c r="E31" s="15"/>
      <c r="F31" s="15"/>
      <c r="G31" s="15"/>
      <c r="H31" s="15"/>
      <c r="I31" s="15"/>
      <c r="J31" s="15"/>
    </row>
    <row r="32" spans="1:10">
      <c r="A32" s="15"/>
      <c r="B32" s="15"/>
      <c r="C32" s="15"/>
      <c r="D32" s="15"/>
      <c r="E32" s="15"/>
      <c r="F32" s="15"/>
      <c r="G32" s="15"/>
      <c r="H32" s="15"/>
      <c r="I32" s="15"/>
      <c r="J32" s="15"/>
    </row>
    <row r="33" spans="1:10">
      <c r="A33" s="15"/>
      <c r="B33" s="15"/>
      <c r="C33" s="15"/>
      <c r="D33" s="15"/>
      <c r="E33" s="15"/>
      <c r="F33" s="15"/>
      <c r="G33" s="15"/>
      <c r="H33" s="15"/>
      <c r="I33" s="15"/>
      <c r="J33" s="15"/>
    </row>
    <row r="34" spans="1:10">
      <c r="A34" s="15"/>
      <c r="B34" s="15"/>
      <c r="C34" s="15"/>
      <c r="D34" s="15"/>
      <c r="E34" s="15"/>
      <c r="F34" s="15"/>
      <c r="G34" s="15"/>
      <c r="H34" s="15"/>
      <c r="I34" s="15"/>
      <c r="J34" s="15"/>
    </row>
    <row r="35" spans="1:10">
      <c r="A35" s="15"/>
      <c r="B35" s="15"/>
      <c r="C35" s="15"/>
      <c r="D35" s="15"/>
      <c r="E35" s="15"/>
      <c r="F35" s="15"/>
      <c r="G35" s="15"/>
      <c r="H35" s="15"/>
      <c r="I35" s="15"/>
      <c r="J35" s="15"/>
    </row>
    <row r="36" spans="1:10">
      <c r="A36" s="15"/>
      <c r="B36" s="15"/>
      <c r="C36" s="15"/>
      <c r="D36" s="15"/>
      <c r="E36" s="15"/>
      <c r="F36" s="15"/>
      <c r="G36" s="15"/>
      <c r="H36" s="15"/>
      <c r="I36" s="15"/>
      <c r="J36" s="15"/>
    </row>
    <row r="37" spans="1:10">
      <c r="A37" s="15"/>
      <c r="B37" s="15"/>
      <c r="C37" s="15"/>
      <c r="D37" s="15"/>
      <c r="E37" s="15"/>
      <c r="F37" s="15"/>
      <c r="G37" s="15"/>
      <c r="H37" s="15"/>
      <c r="I37" s="15"/>
      <c r="J37" s="15"/>
    </row>
    <row r="38" spans="1:10">
      <c r="A38" s="15"/>
      <c r="B38" s="15"/>
      <c r="C38" s="15"/>
      <c r="D38" s="15"/>
      <c r="E38" s="15"/>
      <c r="F38" s="15"/>
      <c r="G38" s="15"/>
      <c r="H38" s="15"/>
      <c r="I38" s="15"/>
      <c r="J38" s="15"/>
    </row>
    <row r="39" spans="1:10">
      <c r="A39" s="15"/>
      <c r="B39" s="15"/>
      <c r="C39" s="15"/>
      <c r="D39" s="15"/>
      <c r="E39" s="15"/>
      <c r="F39" s="15"/>
      <c r="G39" s="15"/>
      <c r="H39" s="15"/>
      <c r="I39" s="15"/>
      <c r="J39" s="15"/>
    </row>
    <row r="40" spans="1:10">
      <c r="A40" s="15"/>
      <c r="B40" s="15"/>
      <c r="C40" s="15"/>
      <c r="D40" s="15"/>
      <c r="E40" s="15"/>
      <c r="F40" s="15"/>
      <c r="G40" s="15"/>
      <c r="H40" s="15"/>
      <c r="I40" s="15"/>
      <c r="J40" s="15"/>
    </row>
    <row r="41" spans="1:10">
      <c r="A41" s="15"/>
      <c r="B41" s="15"/>
      <c r="C41" s="15"/>
      <c r="D41" s="15"/>
      <c r="E41" s="15"/>
      <c r="F41" s="15"/>
      <c r="G41" s="15"/>
      <c r="H41" s="15"/>
      <c r="I41" s="15"/>
      <c r="J41" s="15"/>
    </row>
    <row r="42" spans="1:10">
      <c r="A42" s="15"/>
      <c r="B42" s="15"/>
      <c r="C42" s="15"/>
      <c r="D42" s="15"/>
      <c r="E42" s="15"/>
      <c r="F42" s="15"/>
      <c r="G42" s="15"/>
      <c r="H42" s="15"/>
      <c r="I42" s="15"/>
      <c r="J42" s="15"/>
    </row>
    <row r="43" spans="1:10">
      <c r="A43" s="15"/>
      <c r="B43" s="15"/>
      <c r="C43" s="15"/>
      <c r="D43" s="15"/>
      <c r="E43" s="15"/>
      <c r="F43" s="15"/>
      <c r="G43" s="15"/>
      <c r="H43" s="15"/>
      <c r="I43" s="15"/>
      <c r="J43" s="15"/>
    </row>
    <row r="44" spans="1:10">
      <c r="A44" s="15"/>
      <c r="B44" s="15"/>
      <c r="C44" s="15"/>
      <c r="D44" s="15"/>
      <c r="E44" s="15"/>
      <c r="F44" s="15"/>
      <c r="G44" s="15"/>
      <c r="H44" s="15"/>
      <c r="I44" s="15"/>
      <c r="J44" s="15"/>
    </row>
    <row r="45" spans="1:10">
      <c r="A45" s="15"/>
      <c r="B45" s="15"/>
      <c r="C45" s="15"/>
      <c r="D45" s="15"/>
      <c r="E45" s="15"/>
      <c r="F45" s="15"/>
      <c r="G45" s="15"/>
      <c r="H45" s="15"/>
      <c r="I45" s="15"/>
      <c r="J45" s="15"/>
    </row>
    <row r="46" spans="1:10">
      <c r="A46" s="15"/>
      <c r="B46" s="15"/>
      <c r="C46" s="15"/>
      <c r="D46" s="15"/>
      <c r="E46" s="15"/>
      <c r="F46" s="15"/>
      <c r="G46" s="15"/>
      <c r="H46" s="15"/>
      <c r="I46" s="15"/>
      <c r="J46" s="15"/>
    </row>
    <row r="47" spans="1:10">
      <c r="A47" s="15"/>
      <c r="B47" s="15"/>
      <c r="C47" s="15"/>
      <c r="D47" s="15"/>
      <c r="E47" s="15"/>
      <c r="F47" s="15"/>
      <c r="G47" s="15"/>
      <c r="H47" s="15"/>
      <c r="I47" s="15"/>
      <c r="J47" s="15"/>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E5"/>
  <sheetViews>
    <sheetView workbookViewId="0">
      <selection activeCell="B13" sqref="B13"/>
    </sheetView>
  </sheetViews>
  <sheetFormatPr defaultRowHeight="14.4"/>
  <cols>
    <col min="1" max="1" width="30.44140625" customWidth="1"/>
    <col min="2" max="2" width="48.5546875" style="5" customWidth="1"/>
  </cols>
  <sheetData>
    <row r="1" spans="1:5" s="6" customFormat="1" ht="12">
      <c r="A1" s="46" t="s">
        <v>134</v>
      </c>
      <c r="B1" s="46" t="s">
        <v>135</v>
      </c>
    </row>
    <row r="2" spans="1:5">
      <c r="A2" s="45" t="s">
        <v>136</v>
      </c>
      <c r="B2" s="15" t="s">
        <v>140</v>
      </c>
    </row>
    <row r="3" spans="1:5">
      <c r="A3" s="45" t="s">
        <v>137</v>
      </c>
      <c r="B3" s="15" t="s">
        <v>141</v>
      </c>
    </row>
    <row r="4" spans="1:5" ht="20.399999999999999">
      <c r="A4" s="45" t="s">
        <v>138</v>
      </c>
      <c r="B4" s="15" t="s">
        <v>142</v>
      </c>
    </row>
    <row r="5" spans="1:5" ht="71.400000000000006">
      <c r="A5" s="45" t="s">
        <v>139</v>
      </c>
      <c r="B5" s="15" t="s">
        <v>771</v>
      </c>
      <c r="E5" s="1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Heatmap</vt:lpstr>
      <vt:lpstr>Education</vt:lpstr>
      <vt:lpstr>Certification</vt:lpstr>
      <vt:lpstr>Bugs</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Jincy Jose</dc:creator>
  <cp:lastModifiedBy>Jincy Jose</cp:lastModifiedBy>
  <dcterms:created xsi:type="dcterms:W3CDTF">2025-10-22T09:10:25Z</dcterms:created>
  <dcterms:modified xsi:type="dcterms:W3CDTF">2025-10-27T06:20:55Z</dcterms:modified>
</cp:coreProperties>
</file>